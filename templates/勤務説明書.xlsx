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hatsu\Desktop\anken-kanri\templates\"/>
    </mc:Choice>
  </mc:AlternateContent>
  <xr:revisionPtr revIDLastSave="0" documentId="13_ncr:1_{6B0857AD-9F92-43FB-A100-C4B1E4A8B098}" xr6:coauthVersionLast="47" xr6:coauthVersionMax="47" xr10:uidLastSave="{00000000-0000-0000-0000-000000000000}"/>
  <bookViews>
    <workbookView xWindow="-108" yWindow="-108" windowWidth="23256" windowHeight="12456" firstSheet="1" activeTab="1" xr2:uid="{32DF5ADC-5A0A-45FE-B261-2C6E0FFBD8BF}"/>
  </bookViews>
  <sheets>
    <sheet name="XXXXXX" sheetId="6" state="veryHidden" r:id="rId1"/>
    <sheet name="富双合成" sheetId="37" r:id="rId2"/>
  </sheets>
  <definedNames>
    <definedName name="_xlnm.Print_Area" localSheetId="1">富双合成!$B$1:$V$74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0" i="37" l="1"/>
  <c r="H41" i="37"/>
  <c r="H37" i="37"/>
  <c r="J37" i="37" s="1"/>
  <c r="I44" i="37" s="1"/>
  <c r="T2" i="37"/>
  <c r="R37" i="37"/>
  <c r="T37" i="37" s="1"/>
  <c r="C38" i="37"/>
  <c r="H38" i="37"/>
  <c r="J38" i="37"/>
  <c r="M38" i="37"/>
  <c r="T38" i="37"/>
  <c r="R38" i="37"/>
  <c r="C39" i="37"/>
  <c r="J46" i="37"/>
  <c r="J39" i="37"/>
  <c r="M39" i="37"/>
  <c r="O39" i="37"/>
  <c r="T46" i="37" s="1"/>
  <c r="R39" i="37"/>
  <c r="C40" i="37"/>
  <c r="E40" i="37"/>
  <c r="J40" i="37"/>
  <c r="M40" i="37"/>
  <c r="O40" i="37"/>
  <c r="T40" i="37" s="1"/>
  <c r="R40" i="37"/>
  <c r="C41" i="37"/>
  <c r="E41" i="37"/>
  <c r="J41" i="37" s="1"/>
  <c r="M41" i="37"/>
  <c r="O41" i="37"/>
  <c r="T41" i="37" s="1"/>
  <c r="O47" i="37"/>
  <c r="R41" i="37"/>
  <c r="R43" i="37"/>
  <c r="T43" i="37"/>
  <c r="J47" i="37"/>
  <c r="T47" i="37"/>
  <c r="G63" i="37"/>
  <c r="L63" i="37"/>
  <c r="E46" i="37"/>
  <c r="T39" i="37"/>
  <c r="S44" i="37" l="1"/>
  <c r="E47" i="37"/>
  <c r="O46"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たいあっぷ</author>
  </authors>
  <commentList>
    <comment ref="C37" authorId="0" shapeId="0" xr:uid="{1837F9B9-47B8-4603-829B-439BB65CF61B}">
      <text>
        <r>
          <rPr>
            <sz val="9"/>
            <color indexed="81"/>
            <rFont val="ＭＳ Ｐゴシック"/>
            <family val="3"/>
            <charset val="128"/>
          </rPr>
          <t xml:space="preserve">時給又は日給で表記
</t>
        </r>
      </text>
    </comment>
    <comment ref="M37" authorId="0" shapeId="0" xr:uid="{59603CA0-62AD-4679-8926-6ABA87BF5E75}">
      <text>
        <r>
          <rPr>
            <sz val="9"/>
            <color indexed="81"/>
            <rFont val="ＭＳ Ｐゴシック"/>
            <family val="3"/>
            <charset val="128"/>
          </rPr>
          <t xml:space="preserve">時給又は日給で表記
</t>
        </r>
      </text>
    </comment>
  </commentList>
</comments>
</file>

<file path=xl/sharedStrings.xml><?xml version="1.0" encoding="utf-8"?>
<sst xmlns="http://schemas.openxmlformats.org/spreadsheetml/2006/main" count="290" uniqueCount="146">
  <si>
    <t>事業所名</t>
    <rPh sb="0" eb="3">
      <t>ジ</t>
    </rPh>
    <rPh sb="3" eb="4">
      <t>メイ</t>
    </rPh>
    <phoneticPr fontId="1"/>
  </si>
  <si>
    <t>所在地</t>
    <rPh sb="0" eb="3">
      <t>ショザイチ</t>
    </rPh>
    <phoneticPr fontId="1"/>
  </si>
  <si>
    <t>営業所</t>
    <rPh sb="0" eb="3">
      <t>エイ</t>
    </rPh>
    <phoneticPr fontId="1"/>
  </si>
  <si>
    <t>稼働時間</t>
    <rPh sb="0" eb="2">
      <t>カドウ</t>
    </rPh>
    <rPh sb="2" eb="4">
      <t>ジカン</t>
    </rPh>
    <phoneticPr fontId="1"/>
  </si>
  <si>
    <t>休憩時間</t>
    <rPh sb="0" eb="2">
      <t>キュウケイ</t>
    </rPh>
    <rPh sb="2" eb="4">
      <t>ジカン</t>
    </rPh>
    <phoneticPr fontId="1"/>
  </si>
  <si>
    <t>勤務時間</t>
    <rPh sb="0" eb="2">
      <t>キンム</t>
    </rPh>
    <rPh sb="2" eb="4">
      <t>ジカン</t>
    </rPh>
    <phoneticPr fontId="1"/>
  </si>
  <si>
    <t>（ 休憩</t>
    <rPh sb="2" eb="4">
      <t>キュウケイ</t>
    </rPh>
    <phoneticPr fontId="1"/>
  </si>
  <si>
    <t>勤務形態</t>
    <rPh sb="0" eb="2">
      <t>キンム</t>
    </rPh>
    <rPh sb="2" eb="4">
      <t>ケイタイ</t>
    </rPh>
    <phoneticPr fontId="1"/>
  </si>
  <si>
    <t>業務</t>
    <rPh sb="0" eb="2">
      <t>ギョウム</t>
    </rPh>
    <phoneticPr fontId="1"/>
  </si>
  <si>
    <t>業務内容</t>
    <rPh sb="0" eb="2">
      <t>ギョウム</t>
    </rPh>
    <rPh sb="2" eb="4">
      <t>ナイヨウ</t>
    </rPh>
    <phoneticPr fontId="1"/>
  </si>
  <si>
    <t>稼働日数</t>
    <rPh sb="0" eb="2">
      <t>カドウ</t>
    </rPh>
    <rPh sb="2" eb="4">
      <t>ニッスウ</t>
    </rPh>
    <phoneticPr fontId="1"/>
  </si>
  <si>
    <t>深夜時間</t>
    <rPh sb="0" eb="2">
      <t>シンヤ</t>
    </rPh>
    <rPh sb="2" eb="4">
      <t>ジカン</t>
    </rPh>
    <phoneticPr fontId="1"/>
  </si>
  <si>
    <t>日</t>
    <rPh sb="0" eb="1">
      <t>ヒ</t>
    </rPh>
    <phoneticPr fontId="1"/>
  </si>
  <si>
    <t>時給</t>
    <rPh sb="0" eb="2">
      <t>ジキュウ</t>
    </rPh>
    <phoneticPr fontId="1"/>
  </si>
  <si>
    <t>円×</t>
    <rPh sb="0" eb="1">
      <t>エン</t>
    </rPh>
    <phoneticPr fontId="1"/>
  </si>
  <si>
    <t>Ｈ/月</t>
    <rPh sb="2" eb="3">
      <t>ツキ</t>
    </rPh>
    <phoneticPr fontId="1"/>
  </si>
  <si>
    <t>円</t>
    <rPh sb="0" eb="1">
      <t>エン</t>
    </rPh>
    <phoneticPr fontId="1"/>
  </si>
  <si>
    <t>基本給：</t>
    <rPh sb="0" eb="3">
      <t>キホンキュウ</t>
    </rPh>
    <phoneticPr fontId="1"/>
  </si>
  <si>
    <t>月　収　例</t>
    <rPh sb="0" eb="3">
      <t>ゲッシュウ</t>
    </rPh>
    <rPh sb="4" eb="5">
      <t>レイ</t>
    </rPh>
    <phoneticPr fontId="1"/>
  </si>
  <si>
    <t>計</t>
    <rPh sb="0" eb="1">
      <t>ケイ</t>
    </rPh>
    <phoneticPr fontId="1"/>
  </si>
  <si>
    <t>資格・経験</t>
    <rPh sb="0" eb="2">
      <t>シカク</t>
    </rPh>
    <rPh sb="3" eb="5">
      <t>ケイケン</t>
    </rPh>
    <phoneticPr fontId="1"/>
  </si>
  <si>
    <t>歳</t>
    <rPh sb="0" eb="1">
      <t>サイ</t>
    </rPh>
    <phoneticPr fontId="1"/>
  </si>
  <si>
    <t>迄</t>
    <rPh sb="0" eb="1">
      <t>マデ</t>
    </rPh>
    <phoneticPr fontId="1"/>
  </si>
  <si>
    <t>年　齢</t>
    <rPh sb="0" eb="3">
      <t>ネンレイ</t>
    </rPh>
    <phoneticPr fontId="1"/>
  </si>
  <si>
    <t>備　考</t>
    <rPh sb="0" eb="3">
      <t>ビコウ</t>
    </rPh>
    <phoneticPr fontId="1"/>
  </si>
  <si>
    <t>残業時給</t>
    <rPh sb="0" eb="2">
      <t>ザンギョウ</t>
    </rPh>
    <rPh sb="2" eb="4">
      <t>ジキュウ</t>
    </rPh>
    <phoneticPr fontId="1"/>
  </si>
  <si>
    <t>深夜割増</t>
    <rPh sb="0" eb="2">
      <t>シンヤ</t>
    </rPh>
    <rPh sb="2" eb="4">
      <t>ワリマシ</t>
    </rPh>
    <phoneticPr fontId="1"/>
  </si>
  <si>
    <t>円/Ｈ</t>
    <rPh sb="0" eb="1">
      <t>エン</t>
    </rPh>
    <phoneticPr fontId="1"/>
  </si>
  <si>
    <t>休出時給</t>
    <rPh sb="0" eb="2">
      <t>キュウシュツ</t>
    </rPh>
    <rPh sb="2" eb="4">
      <t>ジキュウ</t>
    </rPh>
    <phoneticPr fontId="1"/>
  </si>
  <si>
    <t>円/月</t>
    <rPh sb="0" eb="1">
      <t>エン</t>
    </rPh>
    <rPh sb="2" eb="3">
      <t>ツキ</t>
    </rPh>
    <phoneticPr fontId="1"/>
  </si>
  <si>
    <t>管轄営業所</t>
    <rPh sb="0" eb="2">
      <t>カンカツ</t>
    </rPh>
    <rPh sb="2" eb="5">
      <t>エイ</t>
    </rPh>
    <phoneticPr fontId="1"/>
  </si>
  <si>
    <t>事業所担当</t>
    <rPh sb="0" eb="3">
      <t>ジ</t>
    </rPh>
    <rPh sb="3" eb="5">
      <t>タントウ</t>
    </rPh>
    <phoneticPr fontId="1"/>
  </si>
  <si>
    <t>雇用期間</t>
    <rPh sb="0" eb="2">
      <t>コヨウ</t>
    </rPh>
    <rPh sb="2" eb="4">
      <t>キカン</t>
    </rPh>
    <phoneticPr fontId="1"/>
  </si>
  <si>
    <t>所 在 地</t>
    <rPh sb="0" eb="5">
      <t>ショザイチ</t>
    </rPh>
    <phoneticPr fontId="1"/>
  </si>
  <si>
    <t>給与支払</t>
    <rPh sb="0" eb="2">
      <t>キュウヨ</t>
    </rPh>
    <rPh sb="2" eb="4">
      <t>シハライ</t>
    </rPh>
    <phoneticPr fontId="1"/>
  </si>
  <si>
    <t>毎月</t>
    <rPh sb="0" eb="2">
      <t>マイツキ</t>
    </rPh>
    <phoneticPr fontId="1"/>
  </si>
  <si>
    <t>日締め</t>
    <rPh sb="0" eb="1">
      <t>ヒ</t>
    </rPh>
    <rPh sb="1" eb="2">
      <t>シ</t>
    </rPh>
    <phoneticPr fontId="1"/>
  </si>
  <si>
    <t>日 払い　（　銀行振込となります　）</t>
    <rPh sb="0" eb="1">
      <t>ヒ</t>
    </rPh>
    <rPh sb="2" eb="3">
      <t>ハラ</t>
    </rPh>
    <rPh sb="7" eb="9">
      <t>ギンコウ</t>
    </rPh>
    <rPh sb="9" eb="11">
      <t>フリコミ</t>
    </rPh>
    <phoneticPr fontId="1"/>
  </si>
  <si>
    <t>１ヶ月以内の自己都合退職の場合、作業服の返却及び諸経費として相当額を給与から差し引きます。</t>
    <rPh sb="20" eb="22">
      <t>ヘンキャク</t>
    </rPh>
    <rPh sb="34" eb="36">
      <t>キュウヨ</t>
    </rPh>
    <phoneticPr fontId="1"/>
  </si>
  <si>
    <t>入社時必要品</t>
    <rPh sb="0" eb="2">
      <t>ニュウシャ</t>
    </rPh>
    <rPh sb="2" eb="3">
      <t>ジ</t>
    </rPh>
    <rPh sb="3" eb="5">
      <t>ヒツヨウ</t>
    </rPh>
    <rPh sb="5" eb="6">
      <t>ヒン</t>
    </rPh>
    <phoneticPr fontId="1"/>
  </si>
  <si>
    <t>現在</t>
    <rPh sb="0" eb="2">
      <t>ゲンザイ</t>
    </rPh>
    <phoneticPr fontId="1"/>
  </si>
  <si>
    <t>企業説明</t>
    <rPh sb="0" eb="2">
      <t>キギョウ</t>
    </rPh>
    <rPh sb="2" eb="4">
      <t>セツメイ</t>
    </rPh>
    <phoneticPr fontId="1"/>
  </si>
  <si>
    <t>改訂履歴</t>
    <rPh sb="0" eb="2">
      <t>カイテイ</t>
    </rPh>
    <rPh sb="2" eb="4">
      <t>リレキ</t>
    </rPh>
    <phoneticPr fontId="1"/>
  </si>
  <si>
    <t>改定日</t>
    <rPh sb="0" eb="3">
      <t>カイテイビ</t>
    </rPh>
    <phoneticPr fontId="1"/>
  </si>
  <si>
    <t>作成</t>
    <rPh sb="0" eb="2">
      <t>サクセイ</t>
    </rPh>
    <phoneticPr fontId="1"/>
  </si>
  <si>
    <t>寮説明書 有　</t>
    <rPh sb="0" eb="1">
      <t>リョウ</t>
    </rPh>
    <rPh sb="1" eb="4">
      <t>セツメイショ</t>
    </rPh>
    <rPh sb="5" eb="6">
      <t>ア</t>
    </rPh>
    <phoneticPr fontId="1"/>
  </si>
  <si>
    <t>　期間延長</t>
    <rPh sb="1" eb="3">
      <t>キカン</t>
    </rPh>
    <rPh sb="3" eb="5">
      <t>エンチョウ</t>
    </rPh>
    <phoneticPr fontId="1"/>
  </si>
  <si>
    <t>　業務補助</t>
    <rPh sb="1" eb="3">
      <t>ギョウム</t>
    </rPh>
    <rPh sb="3" eb="5">
      <t>ホジョ</t>
    </rPh>
    <phoneticPr fontId="1"/>
  </si>
  <si>
    <t>手当／割増</t>
    <rPh sb="0" eb="2">
      <t>テアテ</t>
    </rPh>
    <rPh sb="3" eb="5">
      <t>ワリマシ</t>
    </rPh>
    <phoneticPr fontId="1"/>
  </si>
  <si>
    <t>事業所 勤務条件説明書</t>
    <rPh sb="0" eb="3">
      <t>ジ</t>
    </rPh>
    <rPh sb="4" eb="6">
      <t>キンム</t>
    </rPh>
    <rPh sb="6" eb="8">
      <t>ジョウケン</t>
    </rPh>
    <rPh sb="8" eb="11">
      <t>セツメイショ</t>
    </rPh>
    <phoneticPr fontId="1"/>
  </si>
  <si>
    <t>　立ち作業</t>
    <rPh sb="1" eb="2">
      <t>タ</t>
    </rPh>
    <rPh sb="3" eb="5">
      <t>サギョウ</t>
    </rPh>
    <phoneticPr fontId="1"/>
  </si>
  <si>
    <t>　 両方</t>
    <rPh sb="2" eb="4">
      <t>リョウホウ</t>
    </rPh>
    <phoneticPr fontId="1"/>
  </si>
  <si>
    <t>休　日　　　　　　　勤務シフト</t>
    <rPh sb="0" eb="3">
      <t>キュウジツ</t>
    </rPh>
    <rPh sb="10" eb="12">
      <t>キンム</t>
    </rPh>
    <phoneticPr fontId="1"/>
  </si>
  <si>
    <t>　　 座り作業</t>
    <rPh sb="3" eb="4">
      <t>スワ</t>
    </rPh>
    <rPh sb="5" eb="7">
      <t>サギョウ</t>
    </rPh>
    <phoneticPr fontId="1"/>
  </si>
  <si>
    <t>交通費(上限)</t>
    <rPh sb="0" eb="3">
      <t>コウツウヒ</t>
    </rPh>
    <rPh sb="4" eb="6">
      <t>ジョウゲン</t>
    </rPh>
    <phoneticPr fontId="1"/>
  </si>
  <si>
    <t>勤　務　条　件</t>
    <rPh sb="0" eb="3">
      <t>キンム</t>
    </rPh>
    <rPh sb="4" eb="7">
      <t>ジョウケン</t>
    </rPh>
    <phoneticPr fontId="1"/>
  </si>
  <si>
    <t>交通費</t>
    <rPh sb="0" eb="3">
      <t>コウツウヒ</t>
    </rPh>
    <phoneticPr fontId="1"/>
  </si>
  <si>
    <t>①</t>
    <phoneticPr fontId="1"/>
  </si>
  <si>
    <t>～</t>
    <phoneticPr fontId="1"/>
  </si>
  <si>
    <t>Ｈ</t>
    <phoneticPr fontId="1"/>
  </si>
  <si>
    <t>Ｍ</t>
    <phoneticPr fontId="1"/>
  </si>
  <si>
    <t>－</t>
    <phoneticPr fontId="1"/>
  </si>
  <si>
    <t>）</t>
    <phoneticPr fontId="1"/>
  </si>
  <si>
    <t>なし</t>
    <phoneticPr fontId="1"/>
  </si>
  <si>
    <t>あり</t>
    <phoneticPr fontId="1"/>
  </si>
  <si>
    <t>・</t>
    <phoneticPr fontId="1"/>
  </si>
  <si>
    <t>無断にて遅刻、欠勤、早退がある場合は採用をお断りすることもあります。</t>
    <phoneticPr fontId="1"/>
  </si>
  <si>
    <t>ＦＡＸ</t>
    <phoneticPr fontId="1"/>
  </si>
  <si>
    <t>長期</t>
    <rPh sb="0" eb="2">
      <t>チョウキ</t>
    </rPh>
    <phoneticPr fontId="1"/>
  </si>
  <si>
    <t>Ｈ＝</t>
    <phoneticPr fontId="1"/>
  </si>
  <si>
    <t>②</t>
    <phoneticPr fontId="1"/>
  </si>
  <si>
    <t>NO</t>
    <phoneticPr fontId="1"/>
  </si>
  <si>
    <t>勤務地</t>
    <rPh sb="0" eb="3">
      <t>キンムチ</t>
    </rPh>
    <phoneticPr fontId="1"/>
  </si>
  <si>
    <t>ＴＥＬ</t>
    <phoneticPr fontId="1"/>
  </si>
  <si>
    <t>○</t>
    <phoneticPr fontId="1"/>
  </si>
  <si>
    <t>作業服</t>
    <rPh sb="0" eb="3">
      <t>サギョウフク</t>
    </rPh>
    <phoneticPr fontId="1"/>
  </si>
  <si>
    <t>保護具</t>
    <rPh sb="0" eb="2">
      <t>ホゴ</t>
    </rPh>
    <rPh sb="2" eb="3">
      <t>グ</t>
    </rPh>
    <phoneticPr fontId="1"/>
  </si>
  <si>
    <t>作業服上</t>
    <rPh sb="0" eb="3">
      <t>サギョウフク</t>
    </rPh>
    <rPh sb="3" eb="4">
      <t>ウエ</t>
    </rPh>
    <phoneticPr fontId="1"/>
  </si>
  <si>
    <t>作業服下</t>
    <rPh sb="0" eb="3">
      <t>サギョウフク</t>
    </rPh>
    <rPh sb="3" eb="4">
      <t>シタ</t>
    </rPh>
    <phoneticPr fontId="1"/>
  </si>
  <si>
    <t>万一、退職を希望する場合は、退職の1ヵ月前までに事業所担当者に退職願を提出して下さい。</t>
    <rPh sb="0" eb="2">
      <t>マンイチ</t>
    </rPh>
    <rPh sb="3" eb="5">
      <t>タイショク</t>
    </rPh>
    <rPh sb="6" eb="8">
      <t>キボウ</t>
    </rPh>
    <rPh sb="10" eb="12">
      <t>バアイ</t>
    </rPh>
    <rPh sb="14" eb="16">
      <t>タイショク</t>
    </rPh>
    <rPh sb="19" eb="20">
      <t>ゲツ</t>
    </rPh>
    <rPh sb="20" eb="21">
      <t>マエ</t>
    </rPh>
    <rPh sb="21" eb="22">
      <t>シュウマエ</t>
    </rPh>
    <rPh sb="24" eb="27">
      <t>ジ</t>
    </rPh>
    <rPh sb="27" eb="29">
      <t>タントウ</t>
    </rPh>
    <rPh sb="29" eb="30">
      <t>セキニンシャ</t>
    </rPh>
    <rPh sb="31" eb="33">
      <t>タイショク</t>
    </rPh>
    <rPh sb="33" eb="34">
      <t>ネガ</t>
    </rPh>
    <rPh sb="35" eb="37">
      <t>テイシュツ</t>
    </rPh>
    <rPh sb="39" eb="40">
      <t>クダ</t>
    </rPh>
    <phoneticPr fontId="1"/>
  </si>
  <si>
    <t>入社が内定した段階でキャンセルした場合作業服を買い取っていただく場合があります。</t>
    <rPh sb="0" eb="2">
      <t>ニュウシャ</t>
    </rPh>
    <rPh sb="3" eb="5">
      <t>ナイテイ</t>
    </rPh>
    <rPh sb="7" eb="9">
      <t>ダンカイ</t>
    </rPh>
    <rPh sb="17" eb="19">
      <t>バアイ</t>
    </rPh>
    <rPh sb="19" eb="22">
      <t>サギョウフク</t>
    </rPh>
    <rPh sb="23" eb="24">
      <t>カ</t>
    </rPh>
    <rPh sb="25" eb="26">
      <t>ト</t>
    </rPh>
    <rPh sb="32" eb="34">
      <t>バアイ</t>
    </rPh>
    <phoneticPr fontId="1"/>
  </si>
  <si>
    <t>事前工場見学の際はスカートやサンダル・つけづめ・ピアス・香水などはご遠慮下さい。</t>
    <rPh sb="0" eb="2">
      <t>ジゼン</t>
    </rPh>
    <rPh sb="2" eb="4">
      <t>コウジョウ</t>
    </rPh>
    <rPh sb="4" eb="6">
      <t>ケンガク</t>
    </rPh>
    <rPh sb="7" eb="8">
      <t>サイ</t>
    </rPh>
    <rPh sb="28" eb="30">
      <t>コウスイ</t>
    </rPh>
    <rPh sb="34" eb="36">
      <t>エンリョ</t>
    </rPh>
    <rPh sb="36" eb="37">
      <t>クダ</t>
    </rPh>
    <phoneticPr fontId="1"/>
  </si>
  <si>
    <t>3ヶ月</t>
    <rPh sb="2" eb="3">
      <t>ゲツ</t>
    </rPh>
    <phoneticPr fontId="1"/>
  </si>
  <si>
    <t>通常残業</t>
    <rPh sb="0" eb="2">
      <t>ツウジョウ</t>
    </rPh>
    <rPh sb="2" eb="4">
      <t>ザンギョウ</t>
    </rPh>
    <phoneticPr fontId="1"/>
  </si>
  <si>
    <t>Ｈ/月</t>
    <phoneticPr fontId="1"/>
  </si>
  <si>
    <t>安全靴</t>
    <rPh sb="0" eb="2">
      <t>アンゼン</t>
    </rPh>
    <rPh sb="2" eb="3">
      <t>グツ</t>
    </rPh>
    <phoneticPr fontId="1"/>
  </si>
  <si>
    <t>携帯</t>
    <phoneticPr fontId="1"/>
  </si>
  <si>
    <t>拡大鏡の検査経験あれば尚可</t>
    <rPh sb="0" eb="3">
      <t>カクダイキョウ</t>
    </rPh>
    <rPh sb="4" eb="6">
      <t>ケンサ</t>
    </rPh>
    <rPh sb="6" eb="8">
      <t>ケイケン</t>
    </rPh>
    <rPh sb="11" eb="12">
      <t>ナオ</t>
    </rPh>
    <rPh sb="12" eb="13">
      <t>カ</t>
    </rPh>
    <phoneticPr fontId="1"/>
  </si>
  <si>
    <t>休日出勤</t>
    <rPh sb="0" eb="2">
      <t>キュウジツ</t>
    </rPh>
    <rPh sb="2" eb="4">
      <t>シュッキン</t>
    </rPh>
    <phoneticPr fontId="1"/>
  </si>
  <si>
    <t>残業時間</t>
    <rPh sb="0" eb="2">
      <t>ザンギョウ</t>
    </rPh>
    <rPh sb="2" eb="4">
      <t>ジカン</t>
    </rPh>
    <phoneticPr fontId="1"/>
  </si>
  <si>
    <t>労働保険加入</t>
    <phoneticPr fontId="1"/>
  </si>
  <si>
    <t>社会保険加入</t>
    <phoneticPr fontId="1"/>
  </si>
  <si>
    <t>予定派遣先</t>
    <phoneticPr fontId="1"/>
  </si>
  <si>
    <t>の就業条件では、以下の通りとなります。</t>
    <phoneticPr fontId="1"/>
  </si>
  <si>
    <t>及び</t>
    <rPh sb="0" eb="1">
      <t>オヨ</t>
    </rPh>
    <phoneticPr fontId="1"/>
  </si>
  <si>
    <t>雇用保険（　　　　加入あり ・ 　　　加入なし　）</t>
    <phoneticPr fontId="1"/>
  </si>
  <si>
    <t>健康・厚生年金保険（　　　　　加入あり ・ 　　　　加入なし　）</t>
    <phoneticPr fontId="1"/>
  </si>
  <si>
    <t>会社パンフレットに記載されているものを参照とする。</t>
    <phoneticPr fontId="1"/>
  </si>
  <si>
    <t>雇用契約期間が2ヶ月以内の場合、更新等2ヶ月を越えて雇用されることが確定した時点で加入します。</t>
    <rPh sb="9" eb="10">
      <t>ゲツ</t>
    </rPh>
    <rPh sb="21" eb="22">
      <t>ゲツ</t>
    </rPh>
    <phoneticPr fontId="1"/>
  </si>
  <si>
    <t>健康・厚生年金保険は、おおむね3/4（約30時間）以上の労働時間、又は雇用契約期間が2ヶ月を超える場合は加入するものとする</t>
    <rPh sb="19" eb="20">
      <t>ヤク</t>
    </rPh>
    <rPh sb="33" eb="34">
      <t>マタ</t>
    </rPh>
    <rPh sb="44" eb="45">
      <t>ゲツ</t>
    </rPh>
    <phoneticPr fontId="1"/>
  </si>
  <si>
    <t>福利厚生施設</t>
    <rPh sb="0" eb="2">
      <t>フクリ</t>
    </rPh>
    <rPh sb="2" eb="4">
      <t>コウセイ</t>
    </rPh>
    <rPh sb="4" eb="6">
      <t>シセツ</t>
    </rPh>
    <phoneticPr fontId="1"/>
  </si>
  <si>
    <t>その他</t>
    <rPh sb="2" eb="3">
      <t>タ</t>
    </rPh>
    <phoneticPr fontId="1"/>
  </si>
  <si>
    <t>食堂施設</t>
    <rPh sb="2" eb="4">
      <t>シセツ</t>
    </rPh>
    <phoneticPr fontId="1"/>
  </si>
  <si>
    <t>休憩施設</t>
    <rPh sb="0" eb="2">
      <t>キュウケイ</t>
    </rPh>
    <rPh sb="2" eb="4">
      <t>シセツ</t>
    </rPh>
    <phoneticPr fontId="1"/>
  </si>
  <si>
    <t>事業運営の概要</t>
    <rPh sb="5" eb="7">
      <t>ガイヨウ</t>
    </rPh>
    <phoneticPr fontId="1"/>
  </si>
  <si>
    <t>派遣制度の概要</t>
    <phoneticPr fontId="1"/>
  </si>
  <si>
    <t>教育訓練制度</t>
    <rPh sb="4" eb="6">
      <t>セイド</t>
    </rPh>
    <phoneticPr fontId="1"/>
  </si>
  <si>
    <t>訓練制度</t>
    <phoneticPr fontId="1"/>
  </si>
  <si>
    <t>キャリア形成支援に基づくe-ラーニング制度</t>
    <phoneticPr fontId="1"/>
  </si>
  <si>
    <t>雇用保険は、週の所定労働時間が20時間以上あり、かつ31日以上の雇用見込みがある場合は加入とします。</t>
    <phoneticPr fontId="1"/>
  </si>
  <si>
    <t>①免許証のコピー　②自動車の車検証のコピー　③給与振込予定の銀行通帳のコピー　④車の自賠責・任意保険証券のコピー　</t>
    <rPh sb="10" eb="13">
      <t>ジドウシャ</t>
    </rPh>
    <rPh sb="14" eb="16">
      <t>シャケン</t>
    </rPh>
    <rPh sb="16" eb="17">
      <t>ショウ</t>
    </rPh>
    <rPh sb="23" eb="25">
      <t>キュウヨ</t>
    </rPh>
    <rPh sb="25" eb="27">
      <t>フリコミ</t>
    </rPh>
    <rPh sb="27" eb="29">
      <t>ヨテイ</t>
    </rPh>
    <rPh sb="30" eb="32">
      <t>ギンコウ</t>
    </rPh>
    <rPh sb="32" eb="34">
      <t>ツウチョウ</t>
    </rPh>
    <rPh sb="40" eb="41">
      <t>クルマ</t>
    </rPh>
    <rPh sb="42" eb="45">
      <t>ジバイセキ</t>
    </rPh>
    <rPh sb="46" eb="48">
      <t>ニンイ</t>
    </rPh>
    <rPh sb="48" eb="50">
      <t>ホケン</t>
    </rPh>
    <rPh sb="50" eb="52">
      <t>ショウケン</t>
    </rPh>
    <phoneticPr fontId="1"/>
  </si>
  <si>
    <t>上限</t>
    <rPh sb="0" eb="2">
      <t>ジョウゲン</t>
    </rPh>
    <phoneticPr fontId="1"/>
  </si>
  <si>
    <t>1Ｋｍ/10</t>
    <phoneticPr fontId="1"/>
  </si>
  <si>
    <t>株式会社 bringの会社概要は、会社パンフレットに記載されているものを参照とする。</t>
    <rPh sb="26" eb="28">
      <t>キサイ</t>
    </rPh>
    <phoneticPr fontId="1"/>
  </si>
  <si>
    <t>60</t>
    <phoneticPr fontId="1"/>
  </si>
  <si>
    <t>bring plus</t>
    <phoneticPr fontId="1"/>
  </si>
  <si>
    <t>茨城県牛久市ひたち野西3-31-10</t>
    <rPh sb="0" eb="3">
      <t>イバラキケン</t>
    </rPh>
    <rPh sb="3" eb="6">
      <t>ウシクシ</t>
    </rPh>
    <rPh sb="9" eb="10">
      <t>ノ</t>
    </rPh>
    <rPh sb="10" eb="11">
      <t>ニシ</t>
    </rPh>
    <phoneticPr fontId="1"/>
  </si>
  <si>
    <t>029-869-7640</t>
    <phoneticPr fontId="1"/>
  </si>
  <si>
    <t>029-875-5974</t>
    <phoneticPr fontId="1"/>
  </si>
  <si>
    <t>より車で５分</t>
    <rPh sb="2" eb="3">
      <t>クルマ</t>
    </rPh>
    <rPh sb="5" eb="6">
      <t>プン</t>
    </rPh>
    <phoneticPr fontId="1"/>
  </si>
  <si>
    <t>ヘルメット</t>
    <phoneticPr fontId="1"/>
  </si>
  <si>
    <t>※休日出勤がある場合があります。</t>
    <rPh sb="1" eb="3">
      <t>キュウジツ</t>
    </rPh>
    <rPh sb="3" eb="5">
      <t>シュッキン</t>
    </rPh>
    <rPh sb="8" eb="10">
      <t>バアイ</t>
    </rPh>
    <phoneticPr fontId="1"/>
  </si>
  <si>
    <t>ロッカー</t>
    <phoneticPr fontId="1"/>
  </si>
  <si>
    <t>富双合成株式会社　</t>
    <rPh sb="0" eb="2">
      <t>フソウ</t>
    </rPh>
    <rPh sb="2" eb="4">
      <t>ゴウセイ</t>
    </rPh>
    <rPh sb="4" eb="8">
      <t>カブシキガイシャ</t>
    </rPh>
    <phoneticPr fontId="1"/>
  </si>
  <si>
    <t>久喜工場</t>
    <rPh sb="0" eb="4">
      <t>クキコウジョウ</t>
    </rPh>
    <phoneticPr fontId="1"/>
  </si>
  <si>
    <t>埼玉県久喜市河原井町21番地</t>
    <rPh sb="0" eb="3">
      <t>サイタマケン</t>
    </rPh>
    <rPh sb="3" eb="6">
      <t>クキシ</t>
    </rPh>
    <rPh sb="6" eb="9">
      <t>カワハライ</t>
    </rPh>
    <rPh sb="9" eb="10">
      <t>マチ</t>
    </rPh>
    <rPh sb="12" eb="14">
      <t>バンチ</t>
    </rPh>
    <phoneticPr fontId="1"/>
  </si>
  <si>
    <t>久喜ＩＣ</t>
    <rPh sb="0" eb="2">
      <t>クキ</t>
    </rPh>
    <phoneticPr fontId="1"/>
  </si>
  <si>
    <t>圏央道</t>
    <rPh sb="0" eb="3">
      <t>ケンオウドウ</t>
    </rPh>
    <phoneticPr fontId="1"/>
  </si>
  <si>
    <t>藤井</t>
    <rPh sb="0" eb="2">
      <t>フジイ</t>
    </rPh>
    <phoneticPr fontId="1"/>
  </si>
  <si>
    <t>090-6547-8972</t>
    <phoneticPr fontId="1"/>
  </si>
  <si>
    <t>③</t>
    <phoneticPr fontId="1"/>
  </si>
  <si>
    <t>8</t>
    <phoneticPr fontId="1"/>
  </si>
  <si>
    <t>45</t>
    <phoneticPr fontId="1"/>
  </si>
  <si>
    <t>6.75</t>
    <phoneticPr fontId="1"/>
  </si>
  <si>
    <t>土・日・祝祭日（会社カレンダーによる）ＧＷ、夏期、年末年始</t>
    <rPh sb="0" eb="1">
      <t>ド</t>
    </rPh>
    <rPh sb="2" eb="3">
      <t>ニチ</t>
    </rPh>
    <rPh sb="4" eb="5">
      <t>シュク</t>
    </rPh>
    <rPh sb="5" eb="7">
      <t>サイジツ</t>
    </rPh>
    <rPh sb="8" eb="10">
      <t>カイシャ</t>
    </rPh>
    <rPh sb="22" eb="23">
      <t>ナツ</t>
    </rPh>
    <rPh sb="23" eb="24">
      <t>キ</t>
    </rPh>
    <rPh sb="25" eb="27">
      <t>ネンマツ</t>
    </rPh>
    <rPh sb="27" eb="29">
      <t>ネンシ</t>
    </rPh>
    <phoneticPr fontId="1"/>
  </si>
  <si>
    <t>末</t>
    <rPh sb="0" eb="1">
      <t>マツ</t>
    </rPh>
    <phoneticPr fontId="1"/>
  </si>
  <si>
    <t>翌々</t>
    <rPh sb="0" eb="2">
      <t>ヨクヨク</t>
    </rPh>
    <phoneticPr fontId="1"/>
  </si>
  <si>
    <t>床材（床マット）製造業務　※入社2ヵ月</t>
    <rPh sb="0" eb="1">
      <t>ユカ</t>
    </rPh>
    <rPh sb="1" eb="2">
      <t>ザイ</t>
    </rPh>
    <rPh sb="3" eb="4">
      <t>ユカ</t>
    </rPh>
    <rPh sb="8" eb="10">
      <t>セイゾウ</t>
    </rPh>
    <rPh sb="10" eb="12">
      <t>ギョウム</t>
    </rPh>
    <rPh sb="14" eb="16">
      <t>ニュウシャ</t>
    </rPh>
    <rPh sb="18" eb="19">
      <t>ゲツ</t>
    </rPh>
    <phoneticPr fontId="1"/>
  </si>
  <si>
    <t>床材（床マット）製造業務　※入社2ヵ月以降</t>
    <rPh sb="0" eb="1">
      <t>ユカ</t>
    </rPh>
    <rPh sb="1" eb="2">
      <t>ザイ</t>
    </rPh>
    <rPh sb="3" eb="4">
      <t>ユカ</t>
    </rPh>
    <rPh sb="8" eb="10">
      <t>セイゾウ</t>
    </rPh>
    <rPh sb="10" eb="12">
      <t>ギョウム</t>
    </rPh>
    <rPh sb="14" eb="16">
      <t>ニュウシャ</t>
    </rPh>
    <rPh sb="18" eb="19">
      <t>ゲツ</t>
    </rPh>
    <rPh sb="19" eb="21">
      <t>イコウ</t>
    </rPh>
    <phoneticPr fontId="1"/>
  </si>
  <si>
    <t>床材、ホームファニシング、壁紙など内装・インテリア材のメーカーです。</t>
    <phoneticPr fontId="1"/>
  </si>
  <si>
    <t>塩ビ製建材用化粧シートの原反投入、原料の混練・入荷受入、製品の検品・巻き取り・包装・運搬を担当し、一部フォークリフトでの運搬もあります。工場は24時間稼働のため月曜〜金曜の3交替制。入社後まずは日勤で慣れてから交替に移行します。製造ラインは9ライン、各2〜6人で担当し、工程は自動化されつつも職人的なオペレーションが求められるチーム作業。フォークリフト免許がない方は、概ね3か月後に免許を無料で取得できます。（会社規定有）</t>
    <phoneticPr fontId="1"/>
  </si>
  <si>
    <t>連絡が取れず出勤しなくなってしまった場合、</t>
    <rPh sb="0" eb="2">
      <t>レンラク</t>
    </rPh>
    <rPh sb="3" eb="4">
      <t>ト</t>
    </rPh>
    <rPh sb="6" eb="8">
      <t>シュッキン</t>
    </rPh>
    <rPh sb="18" eb="20">
      <t>バアイ</t>
    </rPh>
    <phoneticPr fontId="1"/>
  </si>
  <si>
    <t>一時的に備品返却などを目的として給与を止めさせて頂く場合がございます。</t>
    <phoneticPr fontId="1"/>
  </si>
  <si>
    <t>自動販売機5台、喫煙所有、駐車場200ｍ先</t>
    <rPh sb="0" eb="2">
      <t>ジドウ</t>
    </rPh>
    <rPh sb="2" eb="5">
      <t>ハンバイキ</t>
    </rPh>
    <rPh sb="6" eb="7">
      <t>ダイ</t>
    </rPh>
    <rPh sb="8" eb="11">
      <t>キツエンジョ</t>
    </rPh>
    <rPh sb="11" eb="12">
      <t>アリ</t>
    </rPh>
    <rPh sb="13" eb="16">
      <t>チュウシャジョウ</t>
    </rPh>
    <rPh sb="20" eb="21">
      <t>サキ</t>
    </rPh>
    <phoneticPr fontId="1"/>
  </si>
  <si>
    <t>1直＝440円　2直＝450円　3直＝持参</t>
    <rPh sb="1" eb="2">
      <t>チョク</t>
    </rPh>
    <rPh sb="6" eb="7">
      <t>エン</t>
    </rPh>
    <rPh sb="9" eb="10">
      <t>チョク</t>
    </rPh>
    <rPh sb="14" eb="15">
      <t>エン</t>
    </rPh>
    <rPh sb="17" eb="18">
      <t>チョク</t>
    </rPh>
    <rPh sb="19" eb="21">
      <t>ジサン</t>
    </rPh>
    <phoneticPr fontId="1"/>
  </si>
  <si>
    <t>1分単位での稼働計算,残業は所定残業</t>
    <rPh sb="1" eb="2">
      <t>フン</t>
    </rPh>
    <rPh sb="2" eb="4">
      <t>タンイ</t>
    </rPh>
    <rPh sb="6" eb="8">
      <t>カドウ</t>
    </rPh>
    <rPh sb="8" eb="10">
      <t>ケイサン</t>
    </rPh>
    <rPh sb="11" eb="13">
      <t>ザンギョウ</t>
    </rPh>
    <rPh sb="14" eb="16">
      <t>ショテイ</t>
    </rPh>
    <rPh sb="16" eb="18">
      <t>ザンギョウ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</si>
</sst>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name val="ＭＳ Ｐゴシック"/>
      <family val="3"/>
      <charset val="128"/>
    </font>
    <font>
      <sz val="6"/>
      <name val="ＭＳ Ｐゴシック"/>
      <family val="3"/>
      <charset val="128"/>
    </font>
    <font>
      <sz val="9"/>
      <name val="ＭＳ Ｐゴシック"/>
      <family val="3"/>
      <charset val="128"/>
    </font>
    <font>
      <sz val="14"/>
      <name val="HG正楷書体-PRO"/>
      <family val="4"/>
      <charset val="128"/>
    </font>
    <font>
      <sz val="8"/>
      <name val="HG丸ｺﾞｼｯｸM-PRO"/>
      <family val="3"/>
      <charset val="128"/>
    </font>
    <font>
      <sz val="9"/>
      <name val="HG丸ｺﾞｼｯｸM-PRO"/>
      <family val="3"/>
      <charset val="128"/>
    </font>
    <font>
      <sz val="7"/>
      <name val="HG丸ｺﾞｼｯｸM-PRO"/>
      <family val="3"/>
      <charset val="128"/>
    </font>
    <font>
      <sz val="11"/>
      <name val="HG丸ｺﾞｼｯｸM-PRO"/>
      <family val="3"/>
      <charset val="128"/>
    </font>
    <font>
      <sz val="10"/>
      <name val="HG丸ｺﾞｼｯｸM-PRO"/>
      <family val="3"/>
      <charset val="128"/>
    </font>
    <font>
      <sz val="9"/>
      <color indexed="81"/>
      <name val="ＭＳ Ｐゴシック"/>
      <family val="3"/>
      <charset val="128"/>
    </font>
    <font>
      <b/>
      <sz val="10"/>
      <name val="HG丸ｺﾞｼｯｸM-PRO"/>
      <family val="3"/>
      <charset val="128"/>
    </font>
    <font>
      <sz val="12"/>
      <name val="HG丸ｺﾞｼｯｸM-PRO"/>
      <family val="3"/>
      <charset val="128"/>
    </font>
  </fonts>
  <fills count="4">
    <fill>
      <patternFill patternType="none"/>
    </fill>
    <fill>
      <patternFill patternType="gray125"/>
    </fill>
    <fill>
      <patternFill patternType="solid">
        <fgColor indexed="45"/>
        <bgColor indexed="64"/>
      </patternFill>
    </fill>
    <fill>
      <patternFill patternType="solid">
        <fgColor rgb="FFFFFF00"/>
        <bgColor indexed="64"/>
      </patternFill>
    </fill>
  </fills>
  <borders count="66">
    <border>
      <left/>
      <right/>
      <top/>
      <bottom/>
      <diagonal/>
    </border>
    <border>
      <left/>
      <right/>
      <top/>
      <bottom style="thin">
        <color indexed="64"/>
      </bottom>
      <diagonal/>
    </border>
    <border>
      <left/>
      <right/>
      <top style="hair">
        <color indexed="64"/>
      </top>
      <bottom style="hair">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right/>
      <top style="thin">
        <color indexed="64"/>
      </top>
      <bottom/>
      <diagonal/>
    </border>
    <border>
      <left/>
      <right/>
      <top style="thin">
        <color indexed="64"/>
      </top>
      <bottom style="hair">
        <color indexed="64"/>
      </bottom>
      <diagonal/>
    </border>
    <border>
      <left/>
      <right style="thin">
        <color indexed="64"/>
      </right>
      <top/>
      <bottom/>
      <diagonal/>
    </border>
    <border>
      <left style="thin">
        <color indexed="64"/>
      </left>
      <right/>
      <top/>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style="hair">
        <color indexed="64"/>
      </bottom>
      <diagonal/>
    </border>
    <border>
      <left/>
      <right style="thin">
        <color indexed="64"/>
      </right>
      <top/>
      <bottom style="thin">
        <color indexed="64"/>
      </bottom>
      <diagonal/>
    </border>
    <border>
      <left/>
      <right/>
      <top/>
      <bottom style="double">
        <color indexed="64"/>
      </bottom>
      <diagonal/>
    </border>
    <border>
      <left/>
      <right style="thin">
        <color indexed="64"/>
      </right>
      <top/>
      <bottom style="double">
        <color indexed="64"/>
      </bottom>
      <diagonal/>
    </border>
    <border>
      <left/>
      <right style="thin">
        <color indexed="64"/>
      </right>
      <top style="thin">
        <color indexed="64"/>
      </top>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right style="hair">
        <color indexed="64"/>
      </right>
      <top style="hair">
        <color indexed="64"/>
      </top>
      <bottom style="thin">
        <color indexed="64"/>
      </bottom>
      <diagonal/>
    </border>
    <border>
      <left/>
      <right/>
      <top style="hair">
        <color indexed="64"/>
      </top>
      <bottom style="thin">
        <color indexed="64"/>
      </bottom>
      <diagonal/>
    </border>
    <border>
      <left style="thin">
        <color indexed="64"/>
      </left>
      <right/>
      <top style="thin">
        <color indexed="64"/>
      </top>
      <bottom/>
      <diagonal/>
    </border>
    <border>
      <left/>
      <right style="hair">
        <color indexed="64"/>
      </right>
      <top style="thin">
        <color indexed="64"/>
      </top>
      <bottom/>
      <diagonal/>
    </border>
    <border>
      <left style="thin">
        <color indexed="64"/>
      </left>
      <right/>
      <top style="thin">
        <color indexed="64"/>
      </top>
      <bottom style="thin">
        <color indexed="64"/>
      </bottom>
      <diagonal/>
    </border>
    <border>
      <left style="hair">
        <color indexed="64"/>
      </left>
      <right/>
      <top style="hair">
        <color indexed="64"/>
      </top>
      <bottom/>
      <diagonal/>
    </border>
    <border>
      <left style="hair">
        <color indexed="64"/>
      </left>
      <right/>
      <top/>
      <bottom style="hair">
        <color indexed="64"/>
      </bottom>
      <diagonal/>
    </border>
    <border>
      <left style="thin">
        <color indexed="64"/>
      </left>
      <right/>
      <top/>
      <bottom style="double">
        <color indexed="64"/>
      </bottom>
      <diagonal/>
    </border>
    <border>
      <left/>
      <right/>
      <top style="double">
        <color indexed="64"/>
      </top>
      <bottom style="thin">
        <color indexed="64"/>
      </bottom>
      <diagonal/>
    </border>
    <border>
      <left/>
      <right style="hair">
        <color indexed="64"/>
      </right>
      <top style="hair">
        <color indexed="64"/>
      </top>
      <bottom/>
      <diagonal/>
    </border>
    <border>
      <left/>
      <right style="hair">
        <color indexed="64"/>
      </right>
      <top/>
      <bottom style="hair">
        <color indexed="64"/>
      </bottom>
      <diagonal/>
    </border>
    <border>
      <left/>
      <right style="thin">
        <color indexed="64"/>
      </right>
      <top style="hair">
        <color indexed="64"/>
      </top>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bottom/>
      <diagonal/>
    </border>
    <border>
      <left style="hair">
        <color indexed="64"/>
      </left>
      <right style="thin">
        <color indexed="64"/>
      </right>
      <top/>
      <bottom/>
      <diagonal/>
    </border>
    <border>
      <left style="thin">
        <color indexed="64"/>
      </left>
      <right style="hair">
        <color indexed="64"/>
      </right>
      <top/>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right style="hair">
        <color indexed="64"/>
      </right>
      <top style="hair">
        <color indexed="64"/>
      </top>
      <bottom style="hair">
        <color indexed="64"/>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s>
  <cellStyleXfs count="1">
    <xf numFmtId="0" fontId="0" fillId="0" borderId="0"/>
  </cellStyleXfs>
  <cellXfs count="305">
    <xf numFmtId="0" fontId="0" fillId="0" borderId="0" xfId="0"/>
    <xf numFmtId="0" fontId="2" fillId="0" borderId="0" xfId="0" applyFont="1" applyAlignment="1">
      <alignment vertical="center"/>
    </xf>
    <xf numFmtId="0" fontId="5" fillId="0" borderId="0" xfId="0" applyFont="1" applyAlignment="1">
      <alignment vertical="center"/>
    </xf>
    <xf numFmtId="0" fontId="5" fillId="0" borderId="1" xfId="0" applyFont="1" applyBorder="1" applyAlignment="1">
      <alignment vertical="center"/>
    </xf>
    <xf numFmtId="0" fontId="5" fillId="0" borderId="2" xfId="0" applyFont="1" applyBorder="1" applyAlignment="1">
      <alignment horizontal="center" vertical="center"/>
    </xf>
    <xf numFmtId="0" fontId="5" fillId="0" borderId="3" xfId="0" applyFont="1" applyBorder="1" applyAlignment="1">
      <alignment vertical="center"/>
    </xf>
    <xf numFmtId="0" fontId="5" fillId="0" borderId="2" xfId="0" applyFont="1" applyBorder="1" applyAlignment="1">
      <alignment vertical="center"/>
    </xf>
    <xf numFmtId="0" fontId="5" fillId="0" borderId="0" xfId="0" applyFont="1" applyAlignment="1">
      <alignment horizontal="center" vertical="center"/>
    </xf>
    <xf numFmtId="0" fontId="4" fillId="0" borderId="0" xfId="0" applyFont="1" applyAlignment="1">
      <alignment vertical="center"/>
    </xf>
    <xf numFmtId="0" fontId="5" fillId="0" borderId="4" xfId="0" applyFont="1" applyBorder="1" applyAlignment="1">
      <alignment vertical="center"/>
    </xf>
    <xf numFmtId="0" fontId="5" fillId="0" borderId="0" xfId="0" applyFont="1"/>
    <xf numFmtId="0" fontId="6" fillId="0" borderId="5" xfId="0" applyFont="1" applyBorder="1" applyAlignment="1">
      <alignment horizontal="center" vertical="center"/>
    </xf>
    <xf numFmtId="0" fontId="6" fillId="0" borderId="6" xfId="0" applyFont="1" applyBorder="1" applyAlignment="1">
      <alignment horizontal="center" vertical="center" shrinkToFit="1"/>
    </xf>
    <xf numFmtId="0" fontId="6" fillId="0" borderId="7" xfId="0" applyFont="1" applyBorder="1" applyAlignment="1">
      <alignment horizontal="center" vertical="center"/>
    </xf>
    <xf numFmtId="0" fontId="6" fillId="0" borderId="8" xfId="0" applyFont="1" applyBorder="1" applyAlignment="1">
      <alignment horizontal="center" vertical="center" shrinkToFit="1"/>
    </xf>
    <xf numFmtId="0" fontId="5" fillId="0" borderId="9" xfId="0" applyFont="1" applyBorder="1" applyAlignment="1">
      <alignment vertical="center"/>
    </xf>
    <xf numFmtId="0" fontId="5" fillId="0" borderId="3" xfId="0" applyFont="1" applyBorder="1" applyAlignment="1">
      <alignment horizontal="center" vertical="center"/>
    </xf>
    <xf numFmtId="0" fontId="5" fillId="0" borderId="10" xfId="0" applyFont="1" applyBorder="1" applyAlignment="1">
      <alignment vertical="center"/>
    </xf>
    <xf numFmtId="0" fontId="4" fillId="0" borderId="0" xfId="0" applyFont="1" applyAlignment="1">
      <alignment horizontal="center" vertical="center"/>
    </xf>
    <xf numFmtId="0" fontId="5" fillId="0" borderId="11" xfId="0" applyFont="1" applyBorder="1" applyAlignment="1">
      <alignment vertical="center"/>
    </xf>
    <xf numFmtId="0" fontId="5" fillId="0" borderId="12" xfId="0" applyFont="1" applyBorder="1" applyAlignment="1">
      <alignment horizontal="right" vertical="center"/>
    </xf>
    <xf numFmtId="0" fontId="6" fillId="0" borderId="13" xfId="0" applyFont="1" applyBorder="1" applyAlignment="1">
      <alignment horizontal="right" vertical="center"/>
    </xf>
    <xf numFmtId="0" fontId="6" fillId="0" borderId="14" xfId="0" applyFont="1" applyBorder="1" applyAlignment="1">
      <alignment horizontal="right" vertical="center"/>
    </xf>
    <xf numFmtId="0" fontId="6" fillId="0" borderId="14" xfId="0" applyFont="1" applyBorder="1" applyAlignment="1">
      <alignment horizontal="center" vertical="center"/>
    </xf>
    <xf numFmtId="0" fontId="6" fillId="0" borderId="14" xfId="0" applyFont="1" applyBorder="1" applyAlignment="1">
      <alignment vertical="center"/>
    </xf>
    <xf numFmtId="0" fontId="5" fillId="0" borderId="15" xfId="0" applyFont="1" applyBorder="1" applyAlignment="1">
      <alignment horizontal="right" vertical="center"/>
    </xf>
    <xf numFmtId="0" fontId="5" fillId="0" borderId="16" xfId="0" applyFont="1" applyBorder="1" applyAlignment="1">
      <alignment horizontal="center" vertical="center"/>
    </xf>
    <xf numFmtId="0" fontId="6" fillId="0" borderId="12" xfId="0" applyFont="1" applyBorder="1" applyAlignment="1">
      <alignment vertical="center"/>
    </xf>
    <xf numFmtId="0" fontId="6" fillId="0" borderId="0" xfId="0" applyFont="1" applyAlignment="1">
      <alignment horizontal="right" vertical="center"/>
    </xf>
    <xf numFmtId="0" fontId="6" fillId="0" borderId="0" xfId="0" applyFont="1" applyAlignment="1">
      <alignment horizontal="center" vertical="center"/>
    </xf>
    <xf numFmtId="0" fontId="6" fillId="0" borderId="0" xfId="0" applyFont="1" applyAlignment="1">
      <alignment vertical="center"/>
    </xf>
    <xf numFmtId="3" fontId="4" fillId="0" borderId="0" xfId="0" applyNumberFormat="1" applyFont="1" applyAlignment="1">
      <alignment horizontal="center" vertical="center"/>
    </xf>
    <xf numFmtId="3" fontId="4" fillId="0" borderId="11" xfId="0" applyNumberFormat="1" applyFont="1" applyBorder="1" applyAlignment="1">
      <alignment horizontal="left" vertical="center"/>
    </xf>
    <xf numFmtId="3" fontId="4" fillId="0" borderId="2" xfId="0" applyNumberFormat="1" applyFont="1" applyBorder="1" applyAlignment="1">
      <alignment horizontal="left" vertical="center"/>
    </xf>
    <xf numFmtId="3" fontId="4" fillId="0" borderId="17" xfId="0" applyNumberFormat="1" applyFont="1" applyBorder="1" applyAlignment="1">
      <alignment horizontal="left" vertical="center"/>
    </xf>
    <xf numFmtId="3" fontId="4" fillId="0" borderId="18" xfId="0" applyNumberFormat="1" applyFont="1" applyBorder="1" applyAlignment="1">
      <alignment horizontal="left" vertical="center"/>
    </xf>
    <xf numFmtId="0" fontId="5" fillId="0" borderId="12" xfId="0" applyFont="1" applyBorder="1" applyAlignment="1">
      <alignment horizontal="center" vertical="center"/>
    </xf>
    <xf numFmtId="3" fontId="6" fillId="0" borderId="0" xfId="0" applyNumberFormat="1" applyFont="1" applyAlignment="1">
      <alignment vertical="center"/>
    </xf>
    <xf numFmtId="3" fontId="4" fillId="0" borderId="0" xfId="0" applyNumberFormat="1" applyFont="1" applyAlignment="1">
      <alignment vertical="center"/>
    </xf>
    <xf numFmtId="3" fontId="4" fillId="0" borderId="11" xfId="0" applyNumberFormat="1" applyFont="1" applyBorder="1" applyAlignment="1">
      <alignment vertical="center"/>
    </xf>
    <xf numFmtId="3" fontId="5" fillId="0" borderId="0" xfId="0" applyNumberFormat="1" applyFont="1" applyAlignment="1">
      <alignment horizontal="center" vertical="center"/>
    </xf>
    <xf numFmtId="3" fontId="5" fillId="0" borderId="0" xfId="0" applyNumberFormat="1" applyFont="1" applyAlignment="1">
      <alignment vertical="center"/>
    </xf>
    <xf numFmtId="3" fontId="5" fillId="0" borderId="11" xfId="0" applyNumberFormat="1" applyFont="1" applyBorder="1" applyAlignment="1">
      <alignment vertical="center"/>
    </xf>
    <xf numFmtId="0" fontId="4" fillId="0" borderId="0" xfId="0" applyFont="1" applyAlignment="1">
      <alignment horizontal="left" vertical="center"/>
    </xf>
    <xf numFmtId="3" fontId="5" fillId="0" borderId="19" xfId="0" applyNumberFormat="1" applyFont="1" applyBorder="1" applyAlignment="1">
      <alignment vertical="center"/>
    </xf>
    <xf numFmtId="3" fontId="6" fillId="0" borderId="19" xfId="0" applyNumberFormat="1" applyFont="1" applyBorder="1" applyAlignment="1">
      <alignment vertical="center"/>
    </xf>
    <xf numFmtId="3" fontId="4" fillId="0" borderId="19" xfId="0" applyNumberFormat="1" applyFont="1" applyBorder="1" applyAlignment="1">
      <alignment vertical="center"/>
    </xf>
    <xf numFmtId="3" fontId="4" fillId="0" borderId="20" xfId="0" applyNumberFormat="1" applyFont="1" applyBorder="1" applyAlignment="1">
      <alignment vertical="center"/>
    </xf>
    <xf numFmtId="3" fontId="5" fillId="0" borderId="20" xfId="0" applyNumberFormat="1" applyFont="1" applyBorder="1" applyAlignment="1">
      <alignment vertical="center"/>
    </xf>
    <xf numFmtId="3" fontId="4" fillId="0" borderId="9" xfId="0" applyNumberFormat="1" applyFont="1" applyBorder="1" applyAlignment="1">
      <alignment horizontal="left" vertical="center"/>
    </xf>
    <xf numFmtId="3" fontId="4" fillId="0" borderId="21" xfId="0" applyNumberFormat="1" applyFont="1" applyBorder="1" applyAlignment="1">
      <alignment horizontal="left" vertical="center"/>
    </xf>
    <xf numFmtId="3" fontId="4" fillId="0" borderId="1" xfId="0" applyNumberFormat="1" applyFont="1" applyBorder="1" applyAlignment="1">
      <alignment horizontal="left" vertical="center"/>
    </xf>
    <xf numFmtId="0" fontId="6" fillId="0" borderId="22" xfId="0" applyFont="1" applyBorder="1" applyAlignment="1">
      <alignment horizontal="center" vertical="center"/>
    </xf>
    <xf numFmtId="0" fontId="6" fillId="0" borderId="23" xfId="0" applyFont="1" applyBorder="1" applyAlignment="1">
      <alignment horizontal="center" vertical="center" shrinkToFit="1"/>
    </xf>
    <xf numFmtId="0" fontId="5" fillId="0" borderId="24" xfId="0" applyFont="1" applyBorder="1" applyAlignment="1">
      <alignment horizontal="right" vertical="center"/>
    </xf>
    <xf numFmtId="0" fontId="4" fillId="2" borderId="25" xfId="0" applyFont="1" applyFill="1" applyBorder="1" applyAlignment="1">
      <alignment horizontal="center" vertical="center"/>
    </xf>
    <xf numFmtId="0" fontId="4" fillId="2" borderId="26" xfId="0" applyFont="1" applyFill="1" applyBorder="1" applyAlignment="1">
      <alignment horizontal="center" vertical="center"/>
    </xf>
    <xf numFmtId="3" fontId="6" fillId="0" borderId="0" xfId="0" applyNumberFormat="1" applyFont="1" applyAlignment="1">
      <alignment horizontal="right" vertical="center"/>
    </xf>
    <xf numFmtId="20" fontId="6" fillId="0" borderId="14" xfId="0" applyNumberFormat="1" applyFont="1" applyBorder="1" applyAlignment="1">
      <alignment horizontal="right" vertical="center"/>
    </xf>
    <xf numFmtId="20" fontId="6" fillId="0" borderId="14" xfId="0" applyNumberFormat="1" applyFont="1" applyBorder="1" applyAlignment="1">
      <alignment horizontal="left" vertical="center"/>
    </xf>
    <xf numFmtId="20" fontId="6" fillId="0" borderId="0" xfId="0" applyNumberFormat="1" applyFont="1" applyAlignment="1">
      <alignment horizontal="right" vertical="center"/>
    </xf>
    <xf numFmtId="20" fontId="6" fillId="0" borderId="0" xfId="0" applyNumberFormat="1" applyFont="1" applyAlignment="1">
      <alignment horizontal="left" vertical="center"/>
    </xf>
    <xf numFmtId="0" fontId="5" fillId="0" borderId="27" xfId="0" applyFont="1" applyBorder="1" applyAlignment="1">
      <alignment vertical="center" shrinkToFit="1"/>
    </xf>
    <xf numFmtId="0" fontId="6" fillId="0" borderId="0" xfId="0" applyFont="1" applyAlignment="1">
      <alignment horizontal="right" vertical="center" shrinkToFit="1"/>
    </xf>
    <xf numFmtId="176" fontId="6" fillId="0" borderId="0" xfId="0" applyNumberFormat="1" applyFont="1" applyAlignment="1">
      <alignment horizontal="right" vertical="center"/>
    </xf>
    <xf numFmtId="3" fontId="4" fillId="0" borderId="28" xfId="0" applyNumberFormat="1" applyFont="1" applyBorder="1" applyAlignment="1">
      <alignment vertical="center"/>
    </xf>
    <xf numFmtId="0" fontId="4" fillId="0" borderId="29" xfId="0" applyFont="1" applyBorder="1" applyAlignment="1">
      <alignment horizontal="right" vertical="center"/>
    </xf>
    <xf numFmtId="0" fontId="4" fillId="2" borderId="24"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4" fillId="2" borderId="30" xfId="0" applyFont="1" applyFill="1" applyBorder="1" applyAlignment="1">
      <alignment vertical="center"/>
    </xf>
    <xf numFmtId="0" fontId="4" fillId="2" borderId="9" xfId="0" applyFont="1" applyFill="1" applyBorder="1" applyAlignment="1">
      <alignment vertical="center"/>
    </xf>
    <xf numFmtId="0" fontId="4" fillId="2" borderId="21" xfId="0" applyFont="1" applyFill="1" applyBorder="1" applyAlignment="1">
      <alignment vertical="center"/>
    </xf>
    <xf numFmtId="49" fontId="5" fillId="0" borderId="0" xfId="0" applyNumberFormat="1" applyFont="1" applyAlignment="1">
      <alignment horizontal="left" vertical="center"/>
    </xf>
    <xf numFmtId="0" fontId="8" fillId="0" borderId="24" xfId="0" applyFont="1" applyBorder="1" applyAlignment="1">
      <alignment horizontal="center" vertical="center"/>
    </xf>
    <xf numFmtId="0" fontId="8" fillId="0" borderId="1" xfId="0" applyFont="1" applyBorder="1" applyAlignment="1">
      <alignment vertical="center"/>
    </xf>
    <xf numFmtId="3" fontId="8" fillId="0" borderId="1" xfId="0" applyNumberFormat="1" applyFont="1" applyBorder="1" applyAlignment="1">
      <alignment vertical="center"/>
    </xf>
    <xf numFmtId="3" fontId="8" fillId="0" borderId="1" xfId="0" applyNumberFormat="1" applyFont="1" applyBorder="1" applyAlignment="1">
      <alignment horizontal="center" vertical="center"/>
    </xf>
    <xf numFmtId="3" fontId="8" fillId="0" borderId="18" xfId="0" applyNumberFormat="1" applyFont="1" applyBorder="1" applyAlignment="1">
      <alignment vertical="center"/>
    </xf>
    <xf numFmtId="0" fontId="8" fillId="0" borderId="0" xfId="0" applyFont="1" applyAlignment="1">
      <alignment vertical="center"/>
    </xf>
    <xf numFmtId="0" fontId="4" fillId="0" borderId="9" xfId="0" applyFont="1" applyBorder="1" applyAlignment="1">
      <alignment vertical="center"/>
    </xf>
    <xf numFmtId="0" fontId="4" fillId="0" borderId="21" xfId="0" applyFont="1" applyBorder="1" applyAlignment="1">
      <alignment vertical="center"/>
    </xf>
    <xf numFmtId="0" fontId="4" fillId="0" borderId="31" xfId="0" applyFont="1" applyBorder="1" applyAlignment="1">
      <alignment vertical="center"/>
    </xf>
    <xf numFmtId="0" fontId="4" fillId="3" borderId="9" xfId="0" applyFont="1" applyFill="1" applyBorder="1" applyAlignment="1">
      <alignment vertical="center"/>
    </xf>
    <xf numFmtId="0" fontId="8" fillId="3" borderId="9" xfId="0" applyFont="1" applyFill="1" applyBorder="1" applyAlignment="1">
      <alignment horizontal="right" vertical="center"/>
    </xf>
    <xf numFmtId="0" fontId="4" fillId="3" borderId="0" xfId="0" applyFont="1" applyFill="1" applyAlignment="1">
      <alignment vertical="center"/>
    </xf>
    <xf numFmtId="0" fontId="8" fillId="3" borderId="0" xfId="0" applyFont="1" applyFill="1" applyAlignment="1">
      <alignment horizontal="right" vertical="center"/>
    </xf>
    <xf numFmtId="0" fontId="4" fillId="3" borderId="1" xfId="0" applyFont="1" applyFill="1" applyBorder="1" applyAlignment="1">
      <alignment vertical="center"/>
    </xf>
    <xf numFmtId="0" fontId="8" fillId="3" borderId="1" xfId="0" applyFont="1" applyFill="1" applyBorder="1" applyAlignment="1">
      <alignment horizontal="right" vertical="center"/>
    </xf>
    <xf numFmtId="0" fontId="4" fillId="3" borderId="18" xfId="0" applyFont="1" applyFill="1" applyBorder="1" applyAlignment="1">
      <alignment vertical="center"/>
    </xf>
    <xf numFmtId="0" fontId="4" fillId="0" borderId="3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4" fontId="6" fillId="0" borderId="0" xfId="0" applyNumberFormat="1" applyFont="1" applyAlignment="1">
      <alignment vertical="center"/>
    </xf>
    <xf numFmtId="4" fontId="6" fillId="0" borderId="0" xfId="0" applyNumberFormat="1" applyFont="1" applyAlignment="1">
      <alignment horizontal="right" vertical="center"/>
    </xf>
    <xf numFmtId="3" fontId="4" fillId="0" borderId="46" xfId="0" applyNumberFormat="1" applyFont="1" applyBorder="1" applyAlignment="1">
      <alignment horizontal="left" vertical="center"/>
    </xf>
    <xf numFmtId="0" fontId="4" fillId="2" borderId="12" xfId="0" applyFont="1" applyFill="1" applyBorder="1" applyAlignment="1">
      <alignment horizontal="center" vertical="center"/>
    </xf>
    <xf numFmtId="0" fontId="4" fillId="2" borderId="0" xfId="0" applyFont="1" applyFill="1" applyAlignment="1">
      <alignment horizontal="center" vertical="center"/>
    </xf>
    <xf numFmtId="0" fontId="4" fillId="2" borderId="11" xfId="0" applyFont="1" applyFill="1" applyBorder="1" applyAlignment="1">
      <alignment horizontal="center" vertical="center"/>
    </xf>
    <xf numFmtId="0" fontId="4" fillId="0" borderId="35" xfId="0" applyFont="1" applyBorder="1" applyAlignment="1">
      <alignment horizontal="center" vertical="center"/>
    </xf>
    <xf numFmtId="0" fontId="4" fillId="0" borderId="19" xfId="0" applyFont="1" applyBorder="1" applyAlignment="1">
      <alignment horizontal="center" vertical="center"/>
    </xf>
    <xf numFmtId="0" fontId="5" fillId="3" borderId="0" xfId="0" applyFont="1" applyFill="1" applyAlignment="1">
      <alignment horizontal="left" vertical="center" shrinkToFit="1"/>
    </xf>
    <xf numFmtId="0" fontId="5" fillId="3" borderId="11" xfId="0" applyFont="1" applyFill="1" applyBorder="1" applyAlignment="1">
      <alignment horizontal="left" vertical="center" shrinkToFit="1"/>
    </xf>
    <xf numFmtId="3" fontId="10" fillId="0" borderId="36" xfId="0" applyNumberFormat="1" applyFont="1" applyBorder="1" applyAlignment="1">
      <alignment horizontal="center" vertical="center"/>
    </xf>
    <xf numFmtId="3" fontId="6" fillId="0" borderId="19" xfId="0" applyNumberFormat="1" applyFont="1" applyBorder="1" applyAlignment="1">
      <alignment horizontal="right" vertical="center"/>
    </xf>
    <xf numFmtId="49" fontId="4" fillId="0" borderId="16" xfId="0" applyNumberFormat="1" applyFont="1" applyBorder="1" applyAlignment="1">
      <alignment horizontal="right" vertical="center"/>
    </xf>
    <xf numFmtId="49" fontId="4" fillId="0" borderId="14" xfId="0" applyNumberFormat="1" applyFont="1" applyBorder="1" applyAlignment="1">
      <alignment horizontal="right"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20" fontId="5" fillId="0" borderId="16" xfId="0" applyNumberFormat="1" applyFont="1" applyBorder="1" applyAlignment="1">
      <alignment horizontal="right" vertical="center"/>
    </xf>
    <xf numFmtId="0" fontId="4" fillId="2" borderId="30"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8" xfId="0" applyFont="1" applyFill="1" applyBorder="1" applyAlignment="1">
      <alignment horizontal="center" vertical="center"/>
    </xf>
    <xf numFmtId="0" fontId="4" fillId="3" borderId="9" xfId="0" applyFont="1" applyFill="1" applyBorder="1" applyAlignment="1">
      <alignment horizontal="left" vertical="center" shrinkToFit="1"/>
    </xf>
    <xf numFmtId="0" fontId="4" fillId="3" borderId="21" xfId="0" applyFont="1" applyFill="1" applyBorder="1" applyAlignment="1">
      <alignment horizontal="left" vertical="center" shrinkToFit="1"/>
    </xf>
    <xf numFmtId="0" fontId="4" fillId="3" borderId="0" xfId="0" applyFont="1" applyFill="1" applyAlignment="1">
      <alignment horizontal="center" vertical="center"/>
    </xf>
    <xf numFmtId="0" fontId="4" fillId="3" borderId="1" xfId="0" applyFont="1" applyFill="1" applyBorder="1" applyAlignment="1">
      <alignment horizontal="center" vertical="center"/>
    </xf>
    <xf numFmtId="0" fontId="4" fillId="3" borderId="24" xfId="0" applyFont="1" applyFill="1" applyBorder="1" applyAlignment="1">
      <alignment horizontal="center" vertical="center"/>
    </xf>
    <xf numFmtId="3" fontId="4" fillId="0" borderId="12" xfId="0" applyNumberFormat="1" applyFont="1" applyBorder="1" applyAlignment="1">
      <alignment horizontal="center" vertical="center"/>
    </xf>
    <xf numFmtId="3" fontId="4" fillId="0" borderId="0" xfId="0" applyNumberFormat="1" applyFont="1" applyAlignment="1">
      <alignment horizontal="center" vertical="center"/>
    </xf>
    <xf numFmtId="3" fontId="5" fillId="0" borderId="12" xfId="0" applyNumberFormat="1" applyFont="1" applyBorder="1" applyAlignment="1">
      <alignment horizontal="center" vertical="center"/>
    </xf>
    <xf numFmtId="3" fontId="5" fillId="0" borderId="0" xfId="0" applyNumberFormat="1" applyFont="1" applyAlignment="1">
      <alignment horizontal="center" vertical="center"/>
    </xf>
    <xf numFmtId="0" fontId="5" fillId="0" borderId="0" xfId="0" applyFont="1" applyAlignment="1">
      <alignment horizontal="center" vertical="center"/>
    </xf>
    <xf numFmtId="0" fontId="4" fillId="3" borderId="12" xfId="0" applyFont="1" applyFill="1" applyBorder="1" applyAlignment="1">
      <alignment horizontal="center" vertical="center"/>
    </xf>
    <xf numFmtId="3" fontId="6" fillId="0" borderId="0" xfId="0" applyNumberFormat="1" applyFont="1" applyAlignment="1">
      <alignment horizontal="right" vertical="center"/>
    </xf>
    <xf numFmtId="0" fontId="4" fillId="2" borderId="15" xfId="0" applyFont="1" applyFill="1" applyBorder="1" applyAlignment="1">
      <alignment horizontal="center" vertical="center"/>
    </xf>
    <xf numFmtId="0" fontId="4" fillId="2" borderId="16" xfId="0" applyFont="1" applyFill="1" applyBorder="1" applyAlignment="1">
      <alignment horizontal="center" vertical="center"/>
    </xf>
    <xf numFmtId="0" fontId="5" fillId="0" borderId="50" xfId="0" applyFont="1" applyBorder="1" applyAlignment="1">
      <alignment horizontal="left" vertical="center" shrinkToFit="1"/>
    </xf>
    <xf numFmtId="0" fontId="5" fillId="0" borderId="2" xfId="0" applyFont="1" applyBorder="1" applyAlignment="1">
      <alignment horizontal="left" vertical="center" shrinkToFit="1"/>
    </xf>
    <xf numFmtId="0" fontId="5" fillId="0" borderId="17" xfId="0" applyFont="1" applyBorder="1" applyAlignment="1">
      <alignment horizontal="left" vertical="center" shrinkToFit="1"/>
    </xf>
    <xf numFmtId="3" fontId="4" fillId="2" borderId="42" xfId="0" applyNumberFormat="1" applyFont="1" applyFill="1" applyBorder="1" applyAlignment="1">
      <alignment horizontal="center" vertical="center"/>
    </xf>
    <xf numFmtId="3" fontId="4" fillId="2" borderId="12" xfId="0" applyNumberFormat="1" applyFont="1" applyFill="1" applyBorder="1" applyAlignment="1">
      <alignment horizontal="center" vertical="center"/>
    </xf>
    <xf numFmtId="0" fontId="5" fillId="0" borderId="3" xfId="0" applyFont="1" applyBorder="1" applyAlignment="1">
      <alignment horizontal="center" vertical="center"/>
    </xf>
    <xf numFmtId="0" fontId="4" fillId="0" borderId="41" xfId="0" applyFont="1" applyBorder="1" applyAlignment="1">
      <alignment horizontal="center" vertical="center" textRotation="255"/>
    </xf>
    <xf numFmtId="0" fontId="4" fillId="0" borderId="42" xfId="0" applyFont="1" applyBorder="1" applyAlignment="1">
      <alignment horizontal="center" vertical="center" textRotation="255"/>
    </xf>
    <xf numFmtId="0" fontId="4" fillId="0" borderId="43" xfId="0" applyFont="1" applyBorder="1" applyAlignment="1">
      <alignment horizontal="center" vertical="center" textRotation="255"/>
    </xf>
    <xf numFmtId="20" fontId="5" fillId="0" borderId="16" xfId="0" applyNumberFormat="1" applyFont="1" applyBorder="1" applyAlignment="1">
      <alignment horizontal="left" vertical="center"/>
    </xf>
    <xf numFmtId="0" fontId="5" fillId="0" borderId="16" xfId="0" applyFont="1" applyBorder="1" applyAlignment="1">
      <alignment horizontal="left" vertical="center"/>
    </xf>
    <xf numFmtId="49" fontId="4" fillId="0" borderId="33" xfId="0" applyNumberFormat="1" applyFont="1" applyBorder="1" applyAlignment="1">
      <alignment horizontal="right" vertical="center"/>
    </xf>
    <xf numFmtId="49" fontId="4" fillId="0" borderId="34" xfId="0" applyNumberFormat="1" applyFont="1" applyBorder="1" applyAlignment="1">
      <alignment horizontal="right" vertical="center"/>
    </xf>
    <xf numFmtId="0" fontId="5" fillId="0" borderId="37" xfId="0" applyFont="1" applyBorder="1" applyAlignment="1">
      <alignment horizontal="center" vertical="center"/>
    </xf>
    <xf numFmtId="0" fontId="5" fillId="0" borderId="38" xfId="0" applyFont="1" applyBorder="1" applyAlignment="1">
      <alignment horizontal="center" vertical="center"/>
    </xf>
    <xf numFmtId="0" fontId="5" fillId="3" borderId="9" xfId="0" applyFont="1" applyFill="1" applyBorder="1" applyAlignment="1">
      <alignment horizontal="left" vertical="center" shrinkToFit="1"/>
    </xf>
    <xf numFmtId="0" fontId="5" fillId="3" borderId="21" xfId="0" applyFont="1" applyFill="1" applyBorder="1" applyAlignment="1">
      <alignment horizontal="left" vertical="center" shrinkToFit="1"/>
    </xf>
    <xf numFmtId="0" fontId="4" fillId="3" borderId="30"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 xfId="0" applyFont="1" applyFill="1" applyBorder="1" applyAlignment="1">
      <alignment horizontal="left" vertical="center" shrinkToFit="1"/>
    </xf>
    <xf numFmtId="0" fontId="4" fillId="3" borderId="18" xfId="0" applyFont="1" applyFill="1" applyBorder="1" applyAlignment="1">
      <alignment horizontal="left" vertical="center" shrinkToFit="1"/>
    </xf>
    <xf numFmtId="0" fontId="4" fillId="3" borderId="0" xfId="0" applyFont="1" applyFill="1" applyAlignment="1">
      <alignment horizontal="left" vertical="center" shrinkToFit="1"/>
    </xf>
    <xf numFmtId="0" fontId="4" fillId="3" borderId="11" xfId="0" applyFont="1" applyFill="1" applyBorder="1" applyAlignment="1">
      <alignment horizontal="left" vertical="center" shrinkToFit="1"/>
    </xf>
    <xf numFmtId="0" fontId="4" fillId="3" borderId="0" xfId="0" applyFont="1" applyFill="1" applyAlignment="1">
      <alignment horizontal="center" vertical="center" shrinkToFit="1"/>
    </xf>
    <xf numFmtId="0" fontId="6" fillId="3" borderId="1"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6" fillId="3" borderId="24" xfId="0" applyFont="1" applyFill="1" applyBorder="1" applyAlignment="1">
      <alignment horizontal="center" vertical="center" shrinkToFit="1"/>
    </xf>
    <xf numFmtId="0" fontId="3" fillId="0" borderId="0" xfId="0" applyFont="1" applyAlignment="1">
      <alignment horizontal="center" vertical="center"/>
    </xf>
    <xf numFmtId="0" fontId="5" fillId="0" borderId="0" xfId="0" applyFont="1" applyAlignment="1">
      <alignment horizontal="right" vertical="center"/>
    </xf>
    <xf numFmtId="0" fontId="4" fillId="0" borderId="0" xfId="0" applyFont="1" applyAlignment="1">
      <alignment horizontal="right" vertical="center"/>
    </xf>
    <xf numFmtId="56" fontId="5" fillId="0" borderId="0" xfId="0" applyNumberFormat="1" applyFont="1" applyAlignment="1">
      <alignment horizontal="center" vertical="center"/>
    </xf>
    <xf numFmtId="0" fontId="5" fillId="0" borderId="9" xfId="0" applyFont="1" applyBorder="1" applyAlignment="1">
      <alignment vertical="center"/>
    </xf>
    <xf numFmtId="0" fontId="5" fillId="0" borderId="21" xfId="0" applyFont="1" applyBorder="1" applyAlignment="1">
      <alignment vertical="center"/>
    </xf>
    <xf numFmtId="0" fontId="4" fillId="2" borderId="44" xfId="0" applyFont="1" applyFill="1" applyBorder="1" applyAlignment="1">
      <alignment horizontal="center" vertical="center"/>
    </xf>
    <xf numFmtId="0" fontId="4" fillId="2" borderId="17" xfId="0" applyFont="1" applyFill="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39"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40" xfId="0" applyFont="1" applyBorder="1" applyAlignment="1">
      <alignment horizontal="center" vertical="center"/>
    </xf>
    <xf numFmtId="0" fontId="5" fillId="0" borderId="9" xfId="0" applyFont="1" applyBorder="1" applyAlignment="1">
      <alignment vertical="center" wrapText="1"/>
    </xf>
    <xf numFmtId="0" fontId="5" fillId="0" borderId="1" xfId="0" applyFont="1" applyBorder="1" applyAlignment="1">
      <alignment vertical="center"/>
    </xf>
    <xf numFmtId="0" fontId="5" fillId="0" borderId="18" xfId="0" applyFont="1" applyBorder="1" applyAlignment="1">
      <alignment vertical="center"/>
    </xf>
    <xf numFmtId="0" fontId="4" fillId="0" borderId="44" xfId="0" applyFont="1" applyBorder="1" applyAlignment="1">
      <alignment horizontal="center" vertical="center"/>
    </xf>
    <xf numFmtId="0" fontId="4" fillId="0" borderId="2" xfId="0" applyFont="1" applyBorder="1" applyAlignment="1">
      <alignment horizontal="center" vertical="center"/>
    </xf>
    <xf numFmtId="0" fontId="4" fillId="0" borderId="17" xfId="0" applyFont="1" applyBorder="1" applyAlignment="1">
      <alignment horizontal="center" vertical="center"/>
    </xf>
    <xf numFmtId="0" fontId="5" fillId="2" borderId="30" xfId="0" applyFont="1" applyFill="1" applyBorder="1" applyAlignment="1">
      <alignment horizontal="center" vertical="center" textRotation="255"/>
    </xf>
    <xf numFmtId="0" fontId="5" fillId="2" borderId="12" xfId="0" applyFont="1" applyFill="1" applyBorder="1" applyAlignment="1">
      <alignment horizontal="center" vertical="center" textRotation="255"/>
    </xf>
    <xf numFmtId="0" fontId="5" fillId="2" borderId="24" xfId="0" applyFont="1" applyFill="1" applyBorder="1" applyAlignment="1">
      <alignment horizontal="center" vertical="center" textRotation="255"/>
    </xf>
    <xf numFmtId="0" fontId="5" fillId="0" borderId="30" xfId="0" applyFont="1" applyBorder="1" applyAlignment="1">
      <alignment horizontal="center" vertical="center"/>
    </xf>
    <xf numFmtId="0" fontId="5" fillId="0" borderId="9" xfId="0" applyFont="1" applyBorder="1" applyAlignment="1">
      <alignment horizontal="center" vertical="center"/>
    </xf>
    <xf numFmtId="0" fontId="4" fillId="2" borderId="32" xfId="0" applyFont="1" applyFill="1" applyBorder="1" applyAlignment="1">
      <alignment horizontal="center" vertical="center"/>
    </xf>
    <xf numFmtId="0" fontId="4" fillId="2" borderId="4" xfId="0" applyFont="1" applyFill="1" applyBorder="1" applyAlignment="1">
      <alignment horizontal="center" vertical="center"/>
    </xf>
    <xf numFmtId="0" fontId="4" fillId="0" borderId="3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5" fillId="0" borderId="30" xfId="0" applyFont="1" applyBorder="1" applyAlignment="1">
      <alignment horizontal="center" vertical="center" shrinkToFit="1"/>
    </xf>
    <xf numFmtId="0" fontId="5" fillId="0" borderId="9"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24" xfId="0" applyFont="1" applyBorder="1" applyAlignment="1">
      <alignment horizontal="center" vertical="center" shrinkToFit="1"/>
    </xf>
    <xf numFmtId="0" fontId="5" fillId="0" borderId="1" xfId="0" applyFont="1" applyBorder="1" applyAlignment="1">
      <alignment horizontal="center" vertical="center" shrinkToFit="1"/>
    </xf>
    <xf numFmtId="0" fontId="5" fillId="0" borderId="18" xfId="0" applyFont="1" applyBorder="1" applyAlignment="1">
      <alignment horizontal="center" vertical="center" shrinkToFit="1"/>
    </xf>
    <xf numFmtId="0" fontId="4" fillId="0" borderId="45" xfId="0" applyFont="1" applyBorder="1" applyAlignment="1">
      <alignment horizontal="center" vertical="center"/>
    </xf>
    <xf numFmtId="0" fontId="4" fillId="0" borderId="29" xfId="0" applyFont="1" applyBorder="1" applyAlignment="1">
      <alignment horizontal="center" vertical="center"/>
    </xf>
    <xf numFmtId="0" fontId="6" fillId="0" borderId="29" xfId="0" applyFont="1" applyBorder="1" applyAlignment="1">
      <alignment horizontal="center" vertical="center" shrinkToFit="1"/>
    </xf>
    <xf numFmtId="0" fontId="6" fillId="0" borderId="46" xfId="0" applyFont="1" applyBorder="1" applyAlignment="1">
      <alignment horizontal="center" vertical="center" shrinkToFit="1"/>
    </xf>
    <xf numFmtId="0" fontId="5" fillId="0" borderId="41" xfId="0" applyFont="1" applyBorder="1" applyAlignment="1">
      <alignment horizontal="center" vertical="center" textRotation="255"/>
    </xf>
    <xf numFmtId="0" fontId="5" fillId="0" borderId="42" xfId="0" applyFont="1" applyBorder="1" applyAlignment="1">
      <alignment horizontal="center" vertical="center" textRotation="255"/>
    </xf>
    <xf numFmtId="0" fontId="5" fillId="0" borderId="43" xfId="0" applyFont="1" applyBorder="1" applyAlignment="1">
      <alignment horizontal="center" vertical="center" textRotation="255"/>
    </xf>
    <xf numFmtId="0" fontId="7" fillId="2" borderId="32" xfId="0" applyFont="1" applyFill="1" applyBorder="1" applyAlignment="1">
      <alignment horizontal="center" vertical="center"/>
    </xf>
    <xf numFmtId="0" fontId="7" fillId="2" borderId="4" xfId="0" applyFont="1" applyFill="1" applyBorder="1" applyAlignment="1">
      <alignment horizontal="center" vertical="center"/>
    </xf>
    <xf numFmtId="0" fontId="5" fillId="0" borderId="32" xfId="0" applyFont="1" applyBorder="1" applyAlignment="1">
      <alignment horizontal="center" vertical="center"/>
    </xf>
    <xf numFmtId="0" fontId="5" fillId="0" borderId="4" xfId="0" applyFont="1" applyBorder="1" applyAlignment="1">
      <alignment horizontal="center" vertical="center"/>
    </xf>
    <xf numFmtId="0" fontId="5" fillId="0" borderId="10" xfId="0" applyFont="1" applyBorder="1" applyAlignment="1">
      <alignment horizontal="center" vertical="center"/>
    </xf>
    <xf numFmtId="0" fontId="4" fillId="0" borderId="10" xfId="0" applyFont="1" applyBorder="1" applyAlignment="1">
      <alignment vertical="center"/>
    </xf>
    <xf numFmtId="0" fontId="4" fillId="2" borderId="47" xfId="0" applyFont="1" applyFill="1" applyBorder="1" applyAlignment="1">
      <alignment horizontal="center" vertical="center"/>
    </xf>
    <xf numFmtId="0" fontId="4" fillId="2" borderId="27" xfId="0" applyFont="1" applyFill="1" applyBorder="1" applyAlignment="1">
      <alignment horizontal="center" vertical="center"/>
    </xf>
    <xf numFmtId="56" fontId="5" fillId="0" borderId="47" xfId="0" applyNumberFormat="1" applyFont="1" applyBorder="1" applyAlignment="1">
      <alignment horizontal="center" vertical="center"/>
    </xf>
    <xf numFmtId="0" fontId="5" fillId="0" borderId="44" xfId="0" applyFont="1" applyBorder="1" applyAlignment="1">
      <alignment horizontal="right" vertical="center"/>
    </xf>
    <xf numFmtId="0" fontId="5" fillId="0" borderId="2" xfId="0" applyFont="1" applyBorder="1" applyAlignment="1">
      <alignment horizontal="right" vertical="center"/>
    </xf>
    <xf numFmtId="0" fontId="5" fillId="0" borderId="2" xfId="0" applyFont="1" applyBorder="1" applyAlignment="1">
      <alignment horizontal="left" vertical="center"/>
    </xf>
    <xf numFmtId="0" fontId="5" fillId="0" borderId="17" xfId="0" applyFont="1" applyBorder="1" applyAlignment="1">
      <alignment horizontal="left" vertical="center"/>
    </xf>
    <xf numFmtId="0" fontId="4" fillId="0" borderId="45" xfId="0" applyFont="1" applyBorder="1" applyAlignment="1">
      <alignment horizontal="left" vertical="center"/>
    </xf>
    <xf numFmtId="0" fontId="4" fillId="0" borderId="29" xfId="0" applyFont="1" applyBorder="1" applyAlignment="1">
      <alignment horizontal="left" vertical="center"/>
    </xf>
    <xf numFmtId="0" fontId="4" fillId="0" borderId="46" xfId="0" applyFont="1" applyBorder="1" applyAlignment="1">
      <alignment horizontal="left" vertical="center"/>
    </xf>
    <xf numFmtId="0" fontId="4" fillId="2" borderId="10" xfId="0" applyFont="1" applyFill="1" applyBorder="1" applyAlignment="1">
      <alignment horizontal="center" vertical="center"/>
    </xf>
    <xf numFmtId="0" fontId="4" fillId="2" borderId="48" xfId="0" applyFont="1" applyFill="1" applyBorder="1" applyAlignment="1">
      <alignment horizontal="center" vertical="center"/>
    </xf>
    <xf numFmtId="0" fontId="4" fillId="2" borderId="49" xfId="0" applyFont="1" applyFill="1" applyBorder="1" applyAlignment="1">
      <alignment horizontal="center" vertical="center"/>
    </xf>
    <xf numFmtId="0" fontId="8" fillId="2" borderId="3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11" fillId="0" borderId="30" xfId="0" applyFont="1" applyBorder="1" applyAlignment="1">
      <alignment horizontal="left" vertical="top" wrapText="1"/>
    </xf>
    <xf numFmtId="0" fontId="11" fillId="0" borderId="9" xfId="0" applyFont="1" applyBorder="1" applyAlignment="1">
      <alignment horizontal="left" vertical="top" wrapText="1"/>
    </xf>
    <xf numFmtId="0" fontId="11" fillId="0" borderId="21" xfId="0" applyFont="1" applyBorder="1" applyAlignment="1">
      <alignment horizontal="left" vertical="top" wrapText="1"/>
    </xf>
    <xf numFmtId="0" fontId="11" fillId="0" borderId="12" xfId="0" applyFont="1" applyBorder="1" applyAlignment="1">
      <alignment horizontal="left" vertical="top" wrapText="1"/>
    </xf>
    <xf numFmtId="0" fontId="11" fillId="0" borderId="0" xfId="0" applyFont="1" applyAlignment="1">
      <alignment horizontal="left" vertical="top" wrapText="1"/>
    </xf>
    <xf numFmtId="0" fontId="11" fillId="0" borderId="11" xfId="0" applyFont="1" applyBorder="1" applyAlignment="1">
      <alignment horizontal="left" vertical="top" wrapText="1"/>
    </xf>
    <xf numFmtId="20" fontId="5" fillId="0" borderId="0" xfId="0" applyNumberFormat="1" applyFont="1" applyAlignment="1">
      <alignment horizontal="right" vertical="center"/>
    </xf>
    <xf numFmtId="49" fontId="4" fillId="0" borderId="0" xfId="0" applyNumberFormat="1" applyFont="1" applyAlignment="1">
      <alignment horizontal="right" vertical="center"/>
    </xf>
    <xf numFmtId="0" fontId="5" fillId="0" borderId="11" xfId="0" applyFont="1" applyBorder="1" applyAlignment="1">
      <alignment horizontal="center" vertical="center"/>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5" fillId="0" borderId="33" xfId="0" applyFont="1" applyBorder="1" applyAlignment="1">
      <alignment horizontal="center" vertical="center" shrinkToFit="1"/>
    </xf>
    <xf numFmtId="0" fontId="5" fillId="0" borderId="16" xfId="0" applyFont="1" applyBorder="1" applyAlignment="1">
      <alignment horizontal="center" vertical="center" shrinkToFit="1"/>
    </xf>
    <xf numFmtId="0" fontId="5" fillId="0" borderId="39" xfId="0" applyFont="1" applyBorder="1" applyAlignment="1">
      <alignment horizontal="center" vertical="center" shrinkToFit="1"/>
    </xf>
    <xf numFmtId="0" fontId="4" fillId="2" borderId="37"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4" fillId="0" borderId="34" xfId="0" applyFont="1" applyBorder="1" applyAlignment="1">
      <alignment horizontal="left" vertical="center"/>
    </xf>
    <xf numFmtId="0" fontId="4" fillId="0" borderId="14" xfId="0" applyFont="1" applyBorder="1" applyAlignment="1">
      <alignment horizontal="left" vertical="center"/>
    </xf>
    <xf numFmtId="0" fontId="4" fillId="0" borderId="40" xfId="0" applyFont="1" applyBorder="1" applyAlignment="1">
      <alignment horizontal="left" vertical="center"/>
    </xf>
    <xf numFmtId="3" fontId="4" fillId="2" borderId="54" xfId="0" applyNumberFormat="1" applyFont="1" applyFill="1" applyBorder="1" applyAlignment="1">
      <alignment horizontal="center" vertical="center"/>
    </xf>
    <xf numFmtId="3" fontId="4" fillId="2" borderId="44" xfId="0" applyNumberFormat="1" applyFont="1" applyFill="1" applyBorder="1" applyAlignment="1">
      <alignment horizontal="center" vertical="center"/>
    </xf>
    <xf numFmtId="4" fontId="4" fillId="0" borderId="50" xfId="0" applyNumberFormat="1" applyFont="1" applyBorder="1" applyAlignment="1">
      <alignment horizontal="center" vertical="center"/>
    </xf>
    <xf numFmtId="4" fontId="4" fillId="0" borderId="2" xfId="0" applyNumberFormat="1" applyFont="1" applyBorder="1" applyAlignment="1">
      <alignment horizontal="center" vertical="center"/>
    </xf>
    <xf numFmtId="3" fontId="4" fillId="2" borderId="6" xfId="0" applyNumberFormat="1" applyFont="1" applyFill="1" applyBorder="1" applyAlignment="1">
      <alignment horizontal="center" vertical="center"/>
    </xf>
    <xf numFmtId="3" fontId="4" fillId="2" borderId="5" xfId="0" applyNumberFormat="1" applyFont="1" applyFill="1" applyBorder="1" applyAlignment="1">
      <alignment horizontal="center" vertical="center"/>
    </xf>
    <xf numFmtId="3" fontId="4" fillId="0" borderId="2" xfId="0" applyNumberFormat="1" applyFont="1" applyBorder="1" applyAlignment="1">
      <alignment horizontal="center" vertical="center"/>
    </xf>
    <xf numFmtId="0" fontId="4" fillId="2" borderId="37" xfId="0" applyFont="1" applyFill="1" applyBorder="1" applyAlignment="1">
      <alignment horizontal="center" vertical="center"/>
    </xf>
    <xf numFmtId="3" fontId="4" fillId="2" borderId="52" xfId="0" applyNumberFormat="1" applyFont="1" applyFill="1" applyBorder="1" applyAlignment="1">
      <alignment horizontal="center" vertical="center"/>
    </xf>
    <xf numFmtId="3" fontId="4" fillId="2" borderId="53" xfId="0" applyNumberFormat="1" applyFont="1" applyFill="1" applyBorder="1" applyAlignment="1">
      <alignment horizontal="center" vertical="center"/>
    </xf>
    <xf numFmtId="3" fontId="4" fillId="0" borderId="51" xfId="0" applyNumberFormat="1" applyFont="1" applyBorder="1" applyAlignment="1">
      <alignment horizontal="center" vertical="center"/>
    </xf>
    <xf numFmtId="2" fontId="4" fillId="0" borderId="0" xfId="0" applyNumberFormat="1" applyFont="1" applyAlignment="1">
      <alignment horizontal="center" vertical="center"/>
    </xf>
    <xf numFmtId="3" fontId="4" fillId="2" borderId="55" xfId="0" applyNumberFormat="1" applyFont="1" applyFill="1" applyBorder="1" applyAlignment="1">
      <alignment horizontal="center" vertical="center"/>
    </xf>
    <xf numFmtId="3" fontId="4" fillId="2" borderId="56" xfId="0" applyNumberFormat="1" applyFont="1" applyFill="1" applyBorder="1" applyAlignment="1">
      <alignment horizontal="center" vertical="center"/>
    </xf>
    <xf numFmtId="3" fontId="4" fillId="0" borderId="1" xfId="0" applyNumberFormat="1" applyFont="1" applyBorder="1" applyAlignment="1">
      <alignment horizontal="center" vertical="center"/>
    </xf>
    <xf numFmtId="3" fontId="4" fillId="2" borderId="24" xfId="0" applyNumberFormat="1" applyFont="1" applyFill="1" applyBorder="1" applyAlignment="1">
      <alignment horizontal="center" vertical="center"/>
    </xf>
    <xf numFmtId="3" fontId="4" fillId="2" borderId="1" xfId="0" applyNumberFormat="1" applyFont="1" applyFill="1" applyBorder="1" applyAlignment="1">
      <alignment horizontal="center" vertical="center"/>
    </xf>
    <xf numFmtId="0" fontId="5" fillId="0" borderId="12" xfId="0" applyFont="1" applyBorder="1" applyAlignment="1">
      <alignment horizontal="center" vertical="center"/>
    </xf>
    <xf numFmtId="3" fontId="4" fillId="0" borderId="0" xfId="0" applyNumberFormat="1" applyFont="1" applyAlignment="1">
      <alignment horizontal="right" vertical="center"/>
    </xf>
    <xf numFmtId="3" fontId="4" fillId="0" borderId="9" xfId="0" applyNumberFormat="1" applyFont="1" applyBorder="1" applyAlignment="1">
      <alignment horizontal="right" vertical="center"/>
    </xf>
    <xf numFmtId="3" fontId="4" fillId="0" borderId="57" xfId="0" applyNumberFormat="1" applyFont="1" applyBorder="1" applyAlignment="1">
      <alignment horizontal="center" vertical="center"/>
    </xf>
    <xf numFmtId="3" fontId="4" fillId="0" borderId="29" xfId="0" applyNumberFormat="1" applyFont="1" applyBorder="1" applyAlignment="1">
      <alignment horizontal="center" vertical="center"/>
    </xf>
    <xf numFmtId="0" fontId="5" fillId="3" borderId="1" xfId="0" applyFont="1" applyFill="1" applyBorder="1" applyAlignment="1">
      <alignment horizontal="left" vertical="center" shrinkToFit="1"/>
    </xf>
    <xf numFmtId="0" fontId="5" fillId="3" borderId="18" xfId="0" applyFont="1" applyFill="1" applyBorder="1" applyAlignment="1">
      <alignment horizontal="left" vertical="center" shrinkToFit="1"/>
    </xf>
    <xf numFmtId="3" fontId="4" fillId="0" borderId="19" xfId="0" applyNumberFormat="1" applyFont="1" applyBorder="1" applyAlignment="1">
      <alignment horizontal="right" vertical="center"/>
    </xf>
    <xf numFmtId="3" fontId="4" fillId="0" borderId="9" xfId="0" applyNumberFormat="1" applyFont="1" applyBorder="1" applyAlignment="1">
      <alignment horizontal="center" vertical="center"/>
    </xf>
    <xf numFmtId="3" fontId="4" fillId="0" borderId="50" xfId="0" applyNumberFormat="1" applyFont="1" applyBorder="1" applyAlignment="1">
      <alignment horizontal="center" vertical="center"/>
    </xf>
    <xf numFmtId="3" fontId="4" fillId="0" borderId="58" xfId="0" applyNumberFormat="1" applyFont="1" applyBorder="1" applyAlignment="1">
      <alignment horizontal="center" vertical="center"/>
    </xf>
    <xf numFmtId="3" fontId="4" fillId="2" borderId="41" xfId="0" applyNumberFormat="1" applyFont="1" applyFill="1" applyBorder="1" applyAlignment="1">
      <alignment horizontal="center" vertical="center"/>
    </xf>
    <xf numFmtId="3" fontId="4" fillId="2" borderId="30" xfId="0" applyNumberFormat="1" applyFont="1" applyFill="1" applyBorder="1" applyAlignment="1">
      <alignment horizontal="center" vertical="center"/>
    </xf>
    <xf numFmtId="3" fontId="4" fillId="2" borderId="60" xfId="0" applyNumberFormat="1" applyFont="1" applyFill="1" applyBorder="1" applyAlignment="1">
      <alignment horizontal="center" vertical="center"/>
    </xf>
    <xf numFmtId="3" fontId="4" fillId="2" borderId="61" xfId="0" applyNumberFormat="1" applyFont="1" applyFill="1" applyBorder="1" applyAlignment="1">
      <alignment horizontal="center" vertical="center"/>
    </xf>
    <xf numFmtId="3" fontId="4" fillId="2" borderId="43" xfId="0" applyNumberFormat="1" applyFont="1" applyFill="1" applyBorder="1" applyAlignment="1">
      <alignment horizontal="center" vertical="center"/>
    </xf>
    <xf numFmtId="3" fontId="4" fillId="0" borderId="62" xfId="0" applyNumberFormat="1" applyFont="1" applyBorder="1" applyAlignment="1">
      <alignment horizontal="center" vertical="center"/>
    </xf>
    <xf numFmtId="3" fontId="4" fillId="2" borderId="44" xfId="0" applyNumberFormat="1" applyFont="1" applyFill="1" applyBorder="1" applyAlignment="1">
      <alignment horizontal="center" vertical="center" shrinkToFit="1"/>
    </xf>
    <xf numFmtId="3" fontId="4" fillId="2" borderId="59" xfId="0" applyNumberFormat="1" applyFont="1" applyFill="1" applyBorder="1" applyAlignment="1">
      <alignment horizontal="center" vertical="center" shrinkToFit="1"/>
    </xf>
    <xf numFmtId="3" fontId="6" fillId="0" borderId="0" xfId="0" applyNumberFormat="1" applyFont="1" applyAlignment="1">
      <alignment horizontal="center" vertical="center"/>
    </xf>
    <xf numFmtId="0" fontId="6" fillId="0" borderId="0" xfId="0" applyFont="1" applyAlignment="1">
      <alignment vertical="center"/>
    </xf>
    <xf numFmtId="0" fontId="6" fillId="0" borderId="11" xfId="0" applyFont="1" applyBorder="1" applyAlignment="1">
      <alignment vertical="center"/>
    </xf>
    <xf numFmtId="57" fontId="6" fillId="0" borderId="63" xfId="0" applyNumberFormat="1" applyFont="1" applyBorder="1" applyAlignment="1">
      <alignment horizontal="center" vertical="center" shrinkToFit="1"/>
    </xf>
    <xf numFmtId="57" fontId="6" fillId="0" borderId="64" xfId="0" applyNumberFormat="1" applyFont="1" applyBorder="1" applyAlignment="1">
      <alignment horizontal="center" vertical="center" shrinkToFit="1"/>
    </xf>
    <xf numFmtId="0" fontId="4" fillId="0" borderId="9" xfId="0" applyFont="1" applyBorder="1" applyAlignment="1">
      <alignment horizontal="center" vertical="center"/>
    </xf>
    <xf numFmtId="0" fontId="4" fillId="0" borderId="30" xfId="0" applyFont="1" applyBorder="1" applyAlignment="1">
      <alignment horizontal="left" vertical="center" wrapText="1" shrinkToFit="1"/>
    </xf>
    <xf numFmtId="0" fontId="4" fillId="0" borderId="9" xfId="0" applyFont="1" applyBorder="1" applyAlignment="1">
      <alignment horizontal="left" vertical="center" wrapText="1" shrinkToFit="1"/>
    </xf>
    <xf numFmtId="0" fontId="4" fillId="0" borderId="21" xfId="0" applyFont="1" applyBorder="1" applyAlignment="1">
      <alignment horizontal="left" vertical="center" wrapText="1" shrinkToFit="1"/>
    </xf>
    <xf numFmtId="0" fontId="4" fillId="0" borderId="24" xfId="0" applyFont="1" applyBorder="1" applyAlignment="1">
      <alignment horizontal="left" vertical="center" wrapText="1" shrinkToFit="1"/>
    </xf>
    <xf numFmtId="0" fontId="4" fillId="0" borderId="1" xfId="0" applyFont="1" applyBorder="1" applyAlignment="1">
      <alignment horizontal="left" vertical="center" wrapText="1" shrinkToFit="1"/>
    </xf>
    <xf numFmtId="0" fontId="4" fillId="0" borderId="18" xfId="0" applyFont="1" applyBorder="1" applyAlignment="1">
      <alignment horizontal="left" vertical="center" wrapText="1" shrinkToFit="1"/>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40" xfId="0" applyFont="1" applyFill="1" applyBorder="1" applyAlignment="1">
      <alignment horizontal="center" vertical="center"/>
    </xf>
    <xf numFmtId="0" fontId="4" fillId="2" borderId="3" xfId="0" applyFont="1" applyFill="1" applyBorder="1" applyAlignment="1">
      <alignment horizontal="center" vertical="center"/>
    </xf>
    <xf numFmtId="0" fontId="4" fillId="0" borderId="30" xfId="0" applyFont="1" applyBorder="1" applyAlignment="1">
      <alignment horizontal="center" vertical="center"/>
    </xf>
    <xf numFmtId="0" fontId="4" fillId="0" borderId="58" xfId="0" applyFont="1" applyBorder="1" applyAlignment="1">
      <alignment horizontal="center" vertical="center"/>
    </xf>
    <xf numFmtId="0" fontId="6" fillId="0" borderId="1" xfId="0" applyFont="1" applyBorder="1" applyAlignment="1">
      <alignment vertical="center"/>
    </xf>
    <xf numFmtId="0" fontId="6" fillId="0" borderId="18" xfId="0" applyFont="1" applyBorder="1" applyAlignment="1">
      <alignment vertical="center"/>
    </xf>
    <xf numFmtId="0" fontId="4" fillId="2" borderId="65" xfId="0" applyFont="1" applyFill="1" applyBorder="1" applyAlignment="1">
      <alignment horizontal="center" vertical="center"/>
    </xf>
    <xf numFmtId="0" fontId="6" fillId="0" borderId="0" xfId="0" applyFont="1" applyAlignment="1">
      <alignment horizontal="left" vertical="center"/>
    </xf>
    <xf numFmtId="0" fontId="6" fillId="0" borderId="11" xfId="0" applyFont="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57CFE-249C-47F3-A3FE-C805C10F4BBC}">
  <sheetPr codeName="Sheet1"/>
  <dimension ref="A1"/>
  <sheetViews>
    <sheetView zoomScaleNormal="48" zoomScaleSheetLayoutView="68" workbookViewId="0"/>
  </sheetViews>
  <sheetFormatPr defaultRowHeight="13.2" x14ac:dyDescent="0.2"/>
  <sheetData/>
  <phoneticPr fontId="1"/>
  <pageMargins left="0.75" right="0.75" top="1" bottom="1" header="0.51200000000000001" footer="0.5120000000000000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5C72C-0F9B-4B77-A2B3-15BE15D05340}">
  <sheetPr codeName="Sheet2"/>
  <dimension ref="B1:W93"/>
  <sheetViews>
    <sheetView tabSelected="1" view="pageBreakPreview" topLeftCell="A8" zoomScale="115" zoomScaleNormal="85" zoomScaleSheetLayoutView="115" workbookViewId="0">
      <selection activeCell="C17" sqref="C17:V22"/>
    </sheetView>
  </sheetViews>
  <sheetFormatPr defaultColWidth="9" defaultRowHeight="10.8" x14ac:dyDescent="0.2"/>
  <cols>
    <col min="1" max="1" width="1.109375" style="1" customWidth="1"/>
    <col min="2" max="4" width="4.6640625" style="1" customWidth="1"/>
    <col min="5" max="5" width="5.44140625" style="1" customWidth="1"/>
    <col min="6" max="6" width="5.6640625" style="1" customWidth="1"/>
    <col min="7" max="7" width="5.44140625" style="1" customWidth="1"/>
    <col min="8" max="15" width="4.6640625" style="1" customWidth="1"/>
    <col min="16" max="16" width="5.6640625" style="1" customWidth="1"/>
    <col min="17" max="22" width="4.6640625" style="1" customWidth="1"/>
    <col min="23" max="16384" width="9" style="1"/>
  </cols>
  <sheetData>
    <row r="1" spans="2:22" ht="21" customHeight="1" x14ac:dyDescent="0.2">
      <c r="B1" s="160" t="s">
        <v>49</v>
      </c>
      <c r="C1" s="160"/>
      <c r="D1" s="160"/>
      <c r="E1" s="160"/>
      <c r="F1" s="160"/>
      <c r="G1" s="160"/>
      <c r="H1" s="160"/>
      <c r="I1" s="160"/>
      <c r="J1" s="160"/>
      <c r="K1" s="160"/>
      <c r="L1" s="160"/>
      <c r="M1" s="160"/>
      <c r="N1" s="160"/>
      <c r="O1" s="160"/>
      <c r="P1" s="160"/>
      <c r="Q1" s="160"/>
      <c r="R1" s="160"/>
      <c r="S1" s="160"/>
      <c r="T1" s="160"/>
      <c r="U1" s="160"/>
      <c r="V1" s="160"/>
    </row>
    <row r="2" spans="2:22" ht="13.5" customHeight="1" x14ac:dyDescent="0.2">
      <c r="B2" s="161"/>
      <c r="C2" s="161"/>
      <c r="D2" s="76"/>
      <c r="E2" s="128"/>
      <c r="F2" s="128"/>
      <c r="G2" s="128"/>
      <c r="H2" s="128"/>
      <c r="I2" s="128"/>
      <c r="J2" s="128"/>
      <c r="K2" s="128"/>
      <c r="L2" s="128"/>
      <c r="M2" s="128"/>
      <c r="N2" s="162" t="s">
        <v>45</v>
      </c>
      <c r="O2" s="162"/>
      <c r="P2" s="162"/>
      <c r="Q2" s="162"/>
      <c r="R2" s="128"/>
      <c r="S2" s="128"/>
      <c r="T2" s="163">
        <f ca="1">TODAY()</f>
        <v>46293</v>
      </c>
      <c r="U2" s="128"/>
      <c r="V2" s="2" t="s">
        <v>40</v>
      </c>
    </row>
    <row r="3" spans="2:22" s="2" customFormat="1" ht="13.5" customHeight="1" x14ac:dyDescent="0.2">
      <c r="B3" s="113" t="s">
        <v>0</v>
      </c>
      <c r="C3" s="114"/>
      <c r="D3" s="190" t="s">
        <v>123</v>
      </c>
      <c r="E3" s="191"/>
      <c r="F3" s="191"/>
      <c r="G3" s="191"/>
      <c r="H3" s="191"/>
      <c r="I3" s="191"/>
      <c r="J3" s="191" t="s">
        <v>124</v>
      </c>
      <c r="K3" s="191"/>
      <c r="L3" s="191"/>
      <c r="M3" s="192"/>
      <c r="N3" s="180" t="s">
        <v>30</v>
      </c>
      <c r="O3" s="113" t="s">
        <v>2</v>
      </c>
      <c r="P3" s="115"/>
      <c r="Q3" s="183" t="s">
        <v>115</v>
      </c>
      <c r="R3" s="184"/>
      <c r="S3" s="184"/>
      <c r="T3" s="184"/>
      <c r="U3" s="164"/>
      <c r="V3" s="165"/>
    </row>
    <row r="4" spans="2:22" s="2" customFormat="1" ht="13.5" customHeight="1" x14ac:dyDescent="0.2">
      <c r="B4" s="116"/>
      <c r="C4" s="117"/>
      <c r="D4" s="193"/>
      <c r="E4" s="194"/>
      <c r="F4" s="194"/>
      <c r="G4" s="194"/>
      <c r="H4" s="194"/>
      <c r="I4" s="194"/>
      <c r="J4" s="194"/>
      <c r="K4" s="194"/>
      <c r="L4" s="194"/>
      <c r="M4" s="195"/>
      <c r="N4" s="181"/>
      <c r="O4" s="166" t="s">
        <v>1</v>
      </c>
      <c r="P4" s="167"/>
      <c r="Q4" s="168" t="s">
        <v>116</v>
      </c>
      <c r="R4" s="169"/>
      <c r="S4" s="169"/>
      <c r="T4" s="169"/>
      <c r="U4" s="169"/>
      <c r="V4" s="170"/>
    </row>
    <row r="5" spans="2:22" s="2" customFormat="1" ht="13.5" customHeight="1" x14ac:dyDescent="0.2">
      <c r="B5" s="113" t="s">
        <v>33</v>
      </c>
      <c r="C5" s="114"/>
      <c r="D5" s="190" t="s">
        <v>125</v>
      </c>
      <c r="E5" s="191"/>
      <c r="F5" s="191"/>
      <c r="G5" s="191"/>
      <c r="H5" s="191"/>
      <c r="I5" s="191"/>
      <c r="J5" s="191"/>
      <c r="K5" s="191"/>
      <c r="L5" s="191"/>
      <c r="M5" s="192"/>
      <c r="N5" s="181"/>
      <c r="O5" s="166"/>
      <c r="P5" s="167"/>
      <c r="Q5" s="171"/>
      <c r="R5" s="172"/>
      <c r="S5" s="172"/>
      <c r="T5" s="172"/>
      <c r="U5" s="172"/>
      <c r="V5" s="173"/>
    </row>
    <row r="6" spans="2:22" s="2" customFormat="1" ht="13.5" customHeight="1" x14ac:dyDescent="0.2">
      <c r="B6" s="116"/>
      <c r="C6" s="117"/>
      <c r="D6" s="193"/>
      <c r="E6" s="194"/>
      <c r="F6" s="194"/>
      <c r="G6" s="194"/>
      <c r="H6" s="194"/>
      <c r="I6" s="194"/>
      <c r="J6" s="194"/>
      <c r="K6" s="194"/>
      <c r="L6" s="194"/>
      <c r="M6" s="195"/>
      <c r="N6" s="181"/>
      <c r="O6" s="166" t="s">
        <v>73</v>
      </c>
      <c r="P6" s="167"/>
      <c r="Q6" s="177" t="s">
        <v>117</v>
      </c>
      <c r="R6" s="178"/>
      <c r="S6" s="178"/>
      <c r="T6" s="178"/>
      <c r="U6" s="178"/>
      <c r="V6" s="179"/>
    </row>
    <row r="7" spans="2:22" s="2" customFormat="1" ht="13.5" customHeight="1" x14ac:dyDescent="0.2">
      <c r="B7" s="113" t="s">
        <v>72</v>
      </c>
      <c r="C7" s="114"/>
      <c r="D7" s="190" t="s">
        <v>127</v>
      </c>
      <c r="E7" s="191"/>
      <c r="F7" s="191"/>
      <c r="G7" s="191" t="s">
        <v>126</v>
      </c>
      <c r="H7" s="191"/>
      <c r="I7" s="174" t="s">
        <v>119</v>
      </c>
      <c r="J7" s="164"/>
      <c r="K7" s="164"/>
      <c r="L7" s="164"/>
      <c r="M7" s="165"/>
      <c r="N7" s="181"/>
      <c r="O7" s="166" t="s">
        <v>67</v>
      </c>
      <c r="P7" s="167"/>
      <c r="Q7" s="177" t="s">
        <v>118</v>
      </c>
      <c r="R7" s="178"/>
      <c r="S7" s="178"/>
      <c r="T7" s="178"/>
      <c r="U7" s="178"/>
      <c r="V7" s="179"/>
    </row>
    <row r="8" spans="2:22" s="2" customFormat="1" ht="13.5" customHeight="1" x14ac:dyDescent="0.2">
      <c r="B8" s="116"/>
      <c r="C8" s="117"/>
      <c r="D8" s="193"/>
      <c r="E8" s="194"/>
      <c r="F8" s="194"/>
      <c r="G8" s="194"/>
      <c r="H8" s="194"/>
      <c r="I8" s="175"/>
      <c r="J8" s="175"/>
      <c r="K8" s="175"/>
      <c r="L8" s="175"/>
      <c r="M8" s="176"/>
      <c r="N8" s="182"/>
      <c r="O8" s="116" t="s">
        <v>31</v>
      </c>
      <c r="P8" s="118"/>
      <c r="Q8" s="196" t="s">
        <v>128</v>
      </c>
      <c r="R8" s="197"/>
      <c r="S8" s="66" t="s">
        <v>86</v>
      </c>
      <c r="T8" s="198" t="s">
        <v>129</v>
      </c>
      <c r="U8" s="198"/>
      <c r="V8" s="199"/>
    </row>
    <row r="9" spans="2:22" s="2" customFormat="1" ht="16.5" customHeight="1" x14ac:dyDescent="0.2">
      <c r="B9" s="185" t="s">
        <v>41</v>
      </c>
      <c r="C9" s="186"/>
      <c r="D9" s="187" t="s">
        <v>139</v>
      </c>
      <c r="E9" s="188"/>
      <c r="F9" s="188"/>
      <c r="G9" s="188"/>
      <c r="H9" s="188"/>
      <c r="I9" s="188"/>
      <c r="J9" s="188"/>
      <c r="K9" s="188"/>
      <c r="L9" s="188"/>
      <c r="M9" s="188"/>
      <c r="N9" s="188"/>
      <c r="O9" s="188"/>
      <c r="P9" s="188"/>
      <c r="Q9" s="188"/>
      <c r="R9" s="188"/>
      <c r="S9" s="188"/>
      <c r="T9" s="188"/>
      <c r="U9" s="188"/>
      <c r="V9" s="189"/>
    </row>
    <row r="10" spans="2:22" s="2" customFormat="1" ht="6.75" customHeight="1" x14ac:dyDescent="0.2">
      <c r="B10" s="3"/>
      <c r="C10" s="3"/>
      <c r="D10" s="3"/>
      <c r="E10" s="3"/>
      <c r="F10" s="3"/>
      <c r="G10" s="3"/>
      <c r="H10" s="3"/>
      <c r="I10" s="3"/>
      <c r="J10" s="3"/>
      <c r="K10" s="3"/>
      <c r="L10" s="3"/>
      <c r="M10" s="3"/>
      <c r="N10" s="3"/>
      <c r="O10" s="3"/>
      <c r="P10" s="3"/>
      <c r="Q10" s="3"/>
      <c r="R10" s="3"/>
      <c r="S10" s="3"/>
      <c r="T10" s="3"/>
      <c r="U10" s="3"/>
      <c r="V10" s="3"/>
    </row>
    <row r="11" spans="2:22" s="2" customFormat="1" ht="18.75" customHeight="1" x14ac:dyDescent="0.2">
      <c r="B11" s="200" t="s">
        <v>55</v>
      </c>
      <c r="C11" s="203" t="s">
        <v>57</v>
      </c>
      <c r="D11" s="204"/>
      <c r="E11" s="205" t="s">
        <v>137</v>
      </c>
      <c r="F11" s="138"/>
      <c r="G11" s="138"/>
      <c r="H11" s="138"/>
      <c r="I11" s="138"/>
      <c r="J11" s="138"/>
      <c r="K11" s="138"/>
      <c r="L11" s="206"/>
      <c r="M11" s="203" t="s">
        <v>70</v>
      </c>
      <c r="N11" s="204"/>
      <c r="O11" s="205" t="s">
        <v>138</v>
      </c>
      <c r="P11" s="138"/>
      <c r="Q11" s="138"/>
      <c r="R11" s="138"/>
      <c r="S11" s="138"/>
      <c r="T11" s="138"/>
      <c r="U11" s="138"/>
      <c r="V11" s="206"/>
    </row>
    <row r="12" spans="2:22" s="2" customFormat="1" ht="13.5" hidden="1" customHeight="1" x14ac:dyDescent="0.2">
      <c r="B12" s="201"/>
      <c r="C12" s="209" t="s">
        <v>32</v>
      </c>
      <c r="D12" s="210"/>
      <c r="E12" s="211" t="s">
        <v>68</v>
      </c>
      <c r="F12" s="207"/>
      <c r="G12" s="207" t="s">
        <v>74</v>
      </c>
      <c r="H12" s="207"/>
      <c r="I12" s="208" t="s">
        <v>46</v>
      </c>
      <c r="J12" s="208"/>
      <c r="K12" s="17"/>
      <c r="L12" s="62" t="s">
        <v>82</v>
      </c>
      <c r="M12" s="209" t="s">
        <v>32</v>
      </c>
      <c r="N12" s="210"/>
      <c r="O12" s="211"/>
      <c r="P12" s="207"/>
      <c r="Q12" s="207"/>
      <c r="R12" s="207"/>
      <c r="S12" s="208"/>
      <c r="T12" s="208"/>
      <c r="U12" s="17"/>
      <c r="V12" s="62"/>
    </row>
    <row r="13" spans="2:22" s="2" customFormat="1" ht="14.1" hidden="1" customHeight="1" x14ac:dyDescent="0.2">
      <c r="B13" s="201"/>
      <c r="C13" s="99" t="s">
        <v>7</v>
      </c>
      <c r="D13" s="101"/>
      <c r="E13" s="128"/>
      <c r="F13" s="128"/>
      <c r="G13" s="18" t="s">
        <v>8</v>
      </c>
      <c r="I13" s="8" t="s">
        <v>47</v>
      </c>
      <c r="J13" s="8"/>
      <c r="L13" s="19"/>
      <c r="M13" s="99" t="s">
        <v>7</v>
      </c>
      <c r="N13" s="101"/>
      <c r="O13" s="128"/>
      <c r="P13" s="128"/>
      <c r="Q13" s="18"/>
      <c r="S13" s="8"/>
      <c r="T13" s="8"/>
      <c r="V13" s="19"/>
    </row>
    <row r="14" spans="2:22" s="2" customFormat="1" ht="14.1" hidden="1" customHeight="1" x14ac:dyDescent="0.2">
      <c r="B14" s="201"/>
      <c r="C14" s="166" t="s">
        <v>23</v>
      </c>
      <c r="D14" s="167"/>
      <c r="E14" s="212">
        <v>18</v>
      </c>
      <c r="F14" s="213"/>
      <c r="G14" s="4" t="s">
        <v>58</v>
      </c>
      <c r="H14" s="4">
        <v>55</v>
      </c>
      <c r="I14" s="6" t="s">
        <v>21</v>
      </c>
      <c r="J14" s="214" t="s">
        <v>22</v>
      </c>
      <c r="K14" s="214"/>
      <c r="L14" s="215"/>
      <c r="M14" s="166" t="s">
        <v>23</v>
      </c>
      <c r="N14" s="167"/>
      <c r="O14" s="212"/>
      <c r="P14" s="213"/>
      <c r="Q14" s="4"/>
      <c r="R14" s="4"/>
      <c r="S14" s="6"/>
      <c r="T14" s="214"/>
      <c r="U14" s="214"/>
      <c r="V14" s="215"/>
    </row>
    <row r="15" spans="2:22" s="2" customFormat="1" ht="14.1" hidden="1" customHeight="1" x14ac:dyDescent="0.2">
      <c r="B15" s="201"/>
      <c r="C15" s="116" t="s">
        <v>20</v>
      </c>
      <c r="D15" s="118"/>
      <c r="E15" s="216" t="s">
        <v>87</v>
      </c>
      <c r="F15" s="217"/>
      <c r="G15" s="217"/>
      <c r="H15" s="217"/>
      <c r="I15" s="217"/>
      <c r="J15" s="217"/>
      <c r="K15" s="217"/>
      <c r="L15" s="218"/>
      <c r="M15" s="116" t="s">
        <v>20</v>
      </c>
      <c r="N15" s="118"/>
      <c r="O15" s="216"/>
      <c r="P15" s="217"/>
      <c r="Q15" s="217"/>
      <c r="R15" s="217"/>
      <c r="S15" s="217"/>
      <c r="T15" s="217"/>
      <c r="U15" s="217"/>
      <c r="V15" s="218"/>
    </row>
    <row r="16" spans="2:22" s="2" customFormat="1" ht="14.1" customHeight="1" x14ac:dyDescent="0.2">
      <c r="B16" s="201"/>
      <c r="C16" s="222" t="s">
        <v>9</v>
      </c>
      <c r="D16" s="223"/>
      <c r="E16" s="223"/>
      <c r="F16" s="223"/>
      <c r="G16" s="223"/>
      <c r="H16" s="223"/>
      <c r="I16" s="223"/>
      <c r="J16" s="223"/>
      <c r="K16" s="223"/>
      <c r="L16" s="223"/>
      <c r="M16" s="223"/>
      <c r="N16" s="223"/>
      <c r="O16" s="223"/>
      <c r="P16" s="223"/>
      <c r="Q16" s="223"/>
      <c r="R16" s="223"/>
      <c r="S16" s="223"/>
      <c r="T16" s="223"/>
      <c r="U16" s="223"/>
      <c r="V16" s="224"/>
    </row>
    <row r="17" spans="2:22" s="2" customFormat="1" ht="13.5" customHeight="1" x14ac:dyDescent="0.2">
      <c r="B17" s="201"/>
      <c r="C17" s="225" t="s">
        <v>140</v>
      </c>
      <c r="D17" s="226"/>
      <c r="E17" s="226"/>
      <c r="F17" s="226"/>
      <c r="G17" s="226"/>
      <c r="H17" s="226"/>
      <c r="I17" s="226"/>
      <c r="J17" s="226"/>
      <c r="K17" s="226"/>
      <c r="L17" s="226"/>
      <c r="M17" s="226"/>
      <c r="N17" s="226"/>
      <c r="O17" s="226"/>
      <c r="P17" s="226"/>
      <c r="Q17" s="226"/>
      <c r="R17" s="226"/>
      <c r="S17" s="226"/>
      <c r="T17" s="226"/>
      <c r="U17" s="226"/>
      <c r="V17" s="227"/>
    </row>
    <row r="18" spans="2:22" s="2" customFormat="1" ht="13.5" customHeight="1" x14ac:dyDescent="0.2">
      <c r="B18" s="201"/>
      <c r="C18" s="228"/>
      <c r="D18" s="229"/>
      <c r="E18" s="229"/>
      <c r="F18" s="229"/>
      <c r="G18" s="229"/>
      <c r="H18" s="229"/>
      <c r="I18" s="229"/>
      <c r="J18" s="229"/>
      <c r="K18" s="229"/>
      <c r="L18" s="229"/>
      <c r="M18" s="229"/>
      <c r="N18" s="229"/>
      <c r="O18" s="229"/>
      <c r="P18" s="229"/>
      <c r="Q18" s="229"/>
      <c r="R18" s="229"/>
      <c r="S18" s="229"/>
      <c r="T18" s="229"/>
      <c r="U18" s="229"/>
      <c r="V18" s="230"/>
    </row>
    <row r="19" spans="2:22" s="2" customFormat="1" ht="13.5" customHeight="1" x14ac:dyDescent="0.2">
      <c r="B19" s="201"/>
      <c r="C19" s="228"/>
      <c r="D19" s="229"/>
      <c r="E19" s="229"/>
      <c r="F19" s="229"/>
      <c r="G19" s="229"/>
      <c r="H19" s="229"/>
      <c r="I19" s="229"/>
      <c r="J19" s="229"/>
      <c r="K19" s="229"/>
      <c r="L19" s="229"/>
      <c r="M19" s="229"/>
      <c r="N19" s="229"/>
      <c r="O19" s="229"/>
      <c r="P19" s="229"/>
      <c r="Q19" s="229"/>
      <c r="R19" s="229"/>
      <c r="S19" s="229"/>
      <c r="T19" s="229"/>
      <c r="U19" s="229"/>
      <c r="V19" s="230"/>
    </row>
    <row r="20" spans="2:22" s="2" customFormat="1" ht="13.5" customHeight="1" x14ac:dyDescent="0.2">
      <c r="B20" s="201"/>
      <c r="C20" s="228"/>
      <c r="D20" s="229"/>
      <c r="E20" s="229"/>
      <c r="F20" s="229"/>
      <c r="G20" s="229"/>
      <c r="H20" s="229"/>
      <c r="I20" s="229"/>
      <c r="J20" s="229"/>
      <c r="K20" s="229"/>
      <c r="L20" s="229"/>
      <c r="M20" s="229"/>
      <c r="N20" s="229"/>
      <c r="O20" s="229"/>
      <c r="P20" s="229"/>
      <c r="Q20" s="229"/>
      <c r="R20" s="229"/>
      <c r="S20" s="229"/>
      <c r="T20" s="229"/>
      <c r="U20" s="229"/>
      <c r="V20" s="230"/>
    </row>
    <row r="21" spans="2:22" s="2" customFormat="1" ht="13.5" customHeight="1" x14ac:dyDescent="0.2">
      <c r="B21" s="201"/>
      <c r="C21" s="228"/>
      <c r="D21" s="229"/>
      <c r="E21" s="229"/>
      <c r="F21" s="229"/>
      <c r="G21" s="229"/>
      <c r="H21" s="229"/>
      <c r="I21" s="229"/>
      <c r="J21" s="229"/>
      <c r="K21" s="229"/>
      <c r="L21" s="229"/>
      <c r="M21" s="229"/>
      <c r="N21" s="229"/>
      <c r="O21" s="229"/>
      <c r="P21" s="229"/>
      <c r="Q21" s="229"/>
      <c r="R21" s="229"/>
      <c r="S21" s="229"/>
      <c r="T21" s="229"/>
      <c r="U21" s="229"/>
      <c r="V21" s="230"/>
    </row>
    <row r="22" spans="2:22" s="2" customFormat="1" ht="13.5" customHeight="1" x14ac:dyDescent="0.2">
      <c r="B22" s="201"/>
      <c r="C22" s="228"/>
      <c r="D22" s="229"/>
      <c r="E22" s="229"/>
      <c r="F22" s="229"/>
      <c r="G22" s="229"/>
      <c r="H22" s="229"/>
      <c r="I22" s="229"/>
      <c r="J22" s="229"/>
      <c r="K22" s="229"/>
      <c r="L22" s="229"/>
      <c r="M22" s="229"/>
      <c r="N22" s="229"/>
      <c r="O22" s="229"/>
      <c r="P22" s="229"/>
      <c r="Q22" s="229"/>
      <c r="R22" s="229"/>
      <c r="S22" s="229"/>
      <c r="T22" s="229"/>
      <c r="U22" s="229"/>
      <c r="V22" s="230"/>
    </row>
    <row r="23" spans="2:22" s="2" customFormat="1" ht="13.5" customHeight="1" x14ac:dyDescent="0.2">
      <c r="B23" s="201"/>
      <c r="C23" s="93"/>
      <c r="D23" s="94"/>
      <c r="E23" s="94" t="s">
        <v>50</v>
      </c>
      <c r="F23" s="94"/>
      <c r="G23" s="94" t="s">
        <v>53</v>
      </c>
      <c r="H23" s="94"/>
      <c r="I23" s="94"/>
      <c r="J23" s="94" t="s">
        <v>51</v>
      </c>
      <c r="K23" s="94"/>
      <c r="L23" s="94"/>
      <c r="M23" s="94"/>
      <c r="N23" s="94"/>
      <c r="O23" s="94" t="s">
        <v>50</v>
      </c>
      <c r="P23" s="94"/>
      <c r="Q23" s="94" t="s">
        <v>53</v>
      </c>
      <c r="R23" s="94"/>
      <c r="S23" s="94"/>
      <c r="T23" s="94" t="s">
        <v>51</v>
      </c>
      <c r="U23" s="94"/>
      <c r="V23" s="95"/>
    </row>
    <row r="24" spans="2:22" s="2" customFormat="1" ht="13.5" customHeight="1" x14ac:dyDescent="0.2">
      <c r="B24" s="201"/>
      <c r="C24" s="209" t="s">
        <v>5</v>
      </c>
      <c r="D24" s="219"/>
      <c r="E24" s="219"/>
      <c r="F24" s="219"/>
      <c r="G24" s="219"/>
      <c r="H24" s="219"/>
      <c r="I24" s="220" t="s">
        <v>3</v>
      </c>
      <c r="J24" s="221"/>
      <c r="K24" s="219" t="s">
        <v>4</v>
      </c>
      <c r="L24" s="210"/>
      <c r="M24" s="209" t="s">
        <v>5</v>
      </c>
      <c r="N24" s="219"/>
      <c r="O24" s="219"/>
      <c r="P24" s="219"/>
      <c r="Q24" s="219"/>
      <c r="R24" s="219"/>
      <c r="S24" s="220" t="s">
        <v>3</v>
      </c>
      <c r="T24" s="221"/>
      <c r="U24" s="219" t="s">
        <v>4</v>
      </c>
      <c r="V24" s="210"/>
    </row>
    <row r="25" spans="2:22" s="2" customFormat="1" ht="13.5" customHeight="1" x14ac:dyDescent="0.2">
      <c r="B25" s="201"/>
      <c r="C25" s="25" t="s">
        <v>57</v>
      </c>
      <c r="D25" s="112">
        <v>0.33333333333333331</v>
      </c>
      <c r="E25" s="112"/>
      <c r="F25" s="26" t="s">
        <v>58</v>
      </c>
      <c r="G25" s="142">
        <v>0.70833333333333337</v>
      </c>
      <c r="H25" s="143"/>
      <c r="I25" s="144" t="s">
        <v>131</v>
      </c>
      <c r="J25" s="146" t="s">
        <v>59</v>
      </c>
      <c r="K25" s="108" t="s">
        <v>114</v>
      </c>
      <c r="L25" s="110" t="s">
        <v>60</v>
      </c>
      <c r="M25" s="25" t="s">
        <v>57</v>
      </c>
      <c r="N25" s="112">
        <v>0.33333333333333331</v>
      </c>
      <c r="O25" s="112"/>
      <c r="P25" s="26" t="s">
        <v>58</v>
      </c>
      <c r="Q25" s="142">
        <v>0.70833333333333337</v>
      </c>
      <c r="R25" s="143"/>
      <c r="S25" s="144" t="s">
        <v>131</v>
      </c>
      <c r="T25" s="146" t="s">
        <v>59</v>
      </c>
      <c r="U25" s="108" t="s">
        <v>114</v>
      </c>
      <c r="V25" s="110" t="s">
        <v>60</v>
      </c>
    </row>
    <row r="26" spans="2:22" s="2" customFormat="1" ht="12" customHeight="1" x14ac:dyDescent="0.2">
      <c r="B26" s="201"/>
      <c r="C26" s="21"/>
      <c r="D26" s="22" t="s">
        <v>6</v>
      </c>
      <c r="E26" s="58">
        <v>0.5</v>
      </c>
      <c r="F26" s="23" t="s">
        <v>61</v>
      </c>
      <c r="G26" s="59">
        <v>0.54166666666666663</v>
      </c>
      <c r="H26" s="24" t="s">
        <v>62</v>
      </c>
      <c r="I26" s="145"/>
      <c r="J26" s="147"/>
      <c r="K26" s="109"/>
      <c r="L26" s="111"/>
      <c r="M26" s="21"/>
      <c r="N26" s="22" t="s">
        <v>6</v>
      </c>
      <c r="O26" s="58">
        <v>0.5</v>
      </c>
      <c r="P26" s="23" t="s">
        <v>61</v>
      </c>
      <c r="Q26" s="59">
        <v>0.54166666666666663</v>
      </c>
      <c r="R26" s="24" t="s">
        <v>62</v>
      </c>
      <c r="S26" s="145"/>
      <c r="T26" s="147"/>
      <c r="U26" s="109"/>
      <c r="V26" s="111"/>
    </row>
    <row r="27" spans="2:22" s="2" customFormat="1" ht="13.5" customHeight="1" x14ac:dyDescent="0.2">
      <c r="B27" s="201"/>
      <c r="C27" s="20" t="s">
        <v>70</v>
      </c>
      <c r="D27" s="231">
        <v>0.70833333333333337</v>
      </c>
      <c r="E27" s="231"/>
      <c r="F27" s="7" t="s">
        <v>58</v>
      </c>
      <c r="G27" s="142">
        <v>2.0833333333333332E-2</v>
      </c>
      <c r="H27" s="143"/>
      <c r="I27" s="144" t="s">
        <v>133</v>
      </c>
      <c r="J27" s="146" t="s">
        <v>59</v>
      </c>
      <c r="K27" s="108" t="s">
        <v>132</v>
      </c>
      <c r="L27" s="110" t="s">
        <v>60</v>
      </c>
      <c r="M27" s="20" t="s">
        <v>70</v>
      </c>
      <c r="N27" s="231">
        <v>0.70833333333333337</v>
      </c>
      <c r="O27" s="231"/>
      <c r="P27" s="7" t="s">
        <v>58</v>
      </c>
      <c r="Q27" s="142">
        <v>2.0833333333333332E-2</v>
      </c>
      <c r="R27" s="143"/>
      <c r="S27" s="144" t="s">
        <v>133</v>
      </c>
      <c r="T27" s="146" t="s">
        <v>59</v>
      </c>
      <c r="U27" s="108" t="s">
        <v>132</v>
      </c>
      <c r="V27" s="110" t="s">
        <v>60</v>
      </c>
    </row>
    <row r="28" spans="2:22" s="2" customFormat="1" ht="12" customHeight="1" x14ac:dyDescent="0.2">
      <c r="B28" s="201"/>
      <c r="C28" s="27"/>
      <c r="D28" s="28" t="s">
        <v>6</v>
      </c>
      <c r="E28" s="60">
        <v>0.83333333333333337</v>
      </c>
      <c r="F28" s="29" t="s">
        <v>61</v>
      </c>
      <c r="G28" s="61">
        <v>0.86458333333333337</v>
      </c>
      <c r="H28" s="30" t="s">
        <v>62</v>
      </c>
      <c r="I28" s="145"/>
      <c r="J28" s="147"/>
      <c r="K28" s="232"/>
      <c r="L28" s="233"/>
      <c r="M28" s="27"/>
      <c r="N28" s="28" t="s">
        <v>6</v>
      </c>
      <c r="O28" s="60">
        <v>0.83333333333333337</v>
      </c>
      <c r="P28" s="29" t="s">
        <v>61</v>
      </c>
      <c r="Q28" s="61">
        <v>0.86458333333333337</v>
      </c>
      <c r="R28" s="30" t="s">
        <v>62</v>
      </c>
      <c r="S28" s="145"/>
      <c r="T28" s="147"/>
      <c r="U28" s="232"/>
      <c r="V28" s="233"/>
    </row>
    <row r="29" spans="2:22" s="2" customFormat="1" ht="13.5" customHeight="1" x14ac:dyDescent="0.2">
      <c r="B29" s="201"/>
      <c r="C29" s="25" t="s">
        <v>130</v>
      </c>
      <c r="D29" s="112">
        <v>2.0833333333333332E-2</v>
      </c>
      <c r="E29" s="112"/>
      <c r="F29" s="26" t="s">
        <v>58</v>
      </c>
      <c r="G29" s="142">
        <v>0.33333333333333331</v>
      </c>
      <c r="H29" s="143"/>
      <c r="I29" s="144" t="s">
        <v>133</v>
      </c>
      <c r="J29" s="146" t="s">
        <v>59</v>
      </c>
      <c r="K29" s="108" t="s">
        <v>132</v>
      </c>
      <c r="L29" s="110" t="s">
        <v>60</v>
      </c>
      <c r="M29" s="25" t="s">
        <v>130</v>
      </c>
      <c r="N29" s="112">
        <v>2.0833333333333332E-2</v>
      </c>
      <c r="O29" s="112"/>
      <c r="P29" s="26" t="s">
        <v>58</v>
      </c>
      <c r="Q29" s="142">
        <v>0.33333333333333331</v>
      </c>
      <c r="R29" s="143"/>
      <c r="S29" s="144" t="s">
        <v>133</v>
      </c>
      <c r="T29" s="146" t="s">
        <v>59</v>
      </c>
      <c r="U29" s="108" t="s">
        <v>132</v>
      </c>
      <c r="V29" s="110" t="s">
        <v>60</v>
      </c>
    </row>
    <row r="30" spans="2:22" s="2" customFormat="1" ht="12" customHeight="1" x14ac:dyDescent="0.2">
      <c r="B30" s="201"/>
      <c r="C30" s="21"/>
      <c r="D30" s="22" t="s">
        <v>6</v>
      </c>
      <c r="E30" s="58">
        <v>0.14583333333333334</v>
      </c>
      <c r="F30" s="23" t="s">
        <v>61</v>
      </c>
      <c r="G30" s="59">
        <v>0.17708333333333334</v>
      </c>
      <c r="H30" s="24" t="s">
        <v>62</v>
      </c>
      <c r="I30" s="145"/>
      <c r="J30" s="147"/>
      <c r="K30" s="109"/>
      <c r="L30" s="111"/>
      <c r="M30" s="21"/>
      <c r="N30" s="22" t="s">
        <v>6</v>
      </c>
      <c r="O30" s="58">
        <v>0.14583333333333334</v>
      </c>
      <c r="P30" s="23" t="s">
        <v>61</v>
      </c>
      <c r="Q30" s="59">
        <v>0.17708333333333334</v>
      </c>
      <c r="R30" s="24" t="s">
        <v>62</v>
      </c>
      <c r="S30" s="145"/>
      <c r="T30" s="147"/>
      <c r="U30" s="109"/>
      <c r="V30" s="111"/>
    </row>
    <row r="31" spans="2:22" s="2" customFormat="1" ht="13.5" customHeight="1" x14ac:dyDescent="0.2">
      <c r="B31" s="201"/>
      <c r="C31" s="131" t="s">
        <v>24</v>
      </c>
      <c r="D31" s="132"/>
      <c r="E31" s="133" t="s">
        <v>145</v>
      </c>
      <c r="F31" s="134"/>
      <c r="G31" s="134"/>
      <c r="H31" s="134"/>
      <c r="I31" s="134"/>
      <c r="J31" s="134"/>
      <c r="K31" s="134"/>
      <c r="L31" s="135"/>
      <c r="M31" s="131" t="s">
        <v>24</v>
      </c>
      <c r="N31" s="253"/>
      <c r="O31" s="133" t="s">
        <v>145</v>
      </c>
      <c r="P31" s="134"/>
      <c r="Q31" s="134"/>
      <c r="R31" s="134"/>
      <c r="S31" s="134"/>
      <c r="T31" s="134"/>
      <c r="U31" s="134"/>
      <c r="V31" s="135"/>
    </row>
    <row r="32" spans="2:22" s="2" customFormat="1" ht="13.5" customHeight="1" x14ac:dyDescent="0.2">
      <c r="B32" s="201"/>
      <c r="C32" s="234" t="s">
        <v>52</v>
      </c>
      <c r="D32" s="235"/>
      <c r="E32" s="238" t="s">
        <v>134</v>
      </c>
      <c r="F32" s="239"/>
      <c r="G32" s="239"/>
      <c r="H32" s="239"/>
      <c r="I32" s="239"/>
      <c r="J32" s="239"/>
      <c r="K32" s="239"/>
      <c r="L32" s="240"/>
      <c r="M32" s="234" t="s">
        <v>52</v>
      </c>
      <c r="N32" s="241"/>
      <c r="O32" s="238" t="s">
        <v>134</v>
      </c>
      <c r="P32" s="239"/>
      <c r="Q32" s="239"/>
      <c r="R32" s="239"/>
      <c r="S32" s="239"/>
      <c r="T32" s="239"/>
      <c r="U32" s="239"/>
      <c r="V32" s="240"/>
    </row>
    <row r="33" spans="2:22" s="2" customFormat="1" ht="13.5" customHeight="1" x14ac:dyDescent="0.2">
      <c r="B33" s="201"/>
      <c r="C33" s="236"/>
      <c r="D33" s="237"/>
      <c r="E33" s="243" t="s">
        <v>121</v>
      </c>
      <c r="F33" s="244"/>
      <c r="G33" s="244"/>
      <c r="H33" s="244"/>
      <c r="I33" s="244"/>
      <c r="J33" s="244"/>
      <c r="K33" s="244"/>
      <c r="L33" s="245"/>
      <c r="M33" s="236"/>
      <c r="N33" s="242"/>
      <c r="O33" s="243" t="s">
        <v>121</v>
      </c>
      <c r="P33" s="244"/>
      <c r="Q33" s="244"/>
      <c r="R33" s="244"/>
      <c r="S33" s="244"/>
      <c r="T33" s="244"/>
      <c r="U33" s="244"/>
      <c r="V33" s="245"/>
    </row>
    <row r="34" spans="2:22" s="2" customFormat="1" ht="13.5" customHeight="1" x14ac:dyDescent="0.2">
      <c r="B34" s="201"/>
      <c r="C34" s="136" t="s">
        <v>10</v>
      </c>
      <c r="D34" s="137"/>
      <c r="E34" s="256">
        <v>20</v>
      </c>
      <c r="F34" s="125"/>
      <c r="G34" s="31" t="s">
        <v>12</v>
      </c>
      <c r="H34" s="254" t="s">
        <v>3</v>
      </c>
      <c r="I34" s="255"/>
      <c r="J34" s="257">
        <v>147.5</v>
      </c>
      <c r="K34" s="257"/>
      <c r="L34" s="32" t="s">
        <v>15</v>
      </c>
      <c r="M34" s="136" t="s">
        <v>10</v>
      </c>
      <c r="N34" s="255"/>
      <c r="O34" s="256">
        <v>20</v>
      </c>
      <c r="P34" s="125"/>
      <c r="Q34" s="31" t="s">
        <v>12</v>
      </c>
      <c r="R34" s="254" t="s">
        <v>3</v>
      </c>
      <c r="S34" s="255"/>
      <c r="T34" s="257">
        <v>147.5</v>
      </c>
      <c r="U34" s="257"/>
      <c r="V34" s="32" t="s">
        <v>15</v>
      </c>
    </row>
    <row r="35" spans="2:22" s="2" customFormat="1" ht="13.5" customHeight="1" x14ac:dyDescent="0.2">
      <c r="B35" s="201"/>
      <c r="C35" s="246" t="s">
        <v>11</v>
      </c>
      <c r="D35" s="247"/>
      <c r="E35" s="248">
        <v>31.25</v>
      </c>
      <c r="F35" s="249"/>
      <c r="G35" s="33" t="s">
        <v>15</v>
      </c>
      <c r="H35" s="250" t="s">
        <v>89</v>
      </c>
      <c r="I35" s="251"/>
      <c r="J35" s="252">
        <v>10</v>
      </c>
      <c r="K35" s="252"/>
      <c r="L35" s="34" t="s">
        <v>15</v>
      </c>
      <c r="M35" s="246" t="s">
        <v>11</v>
      </c>
      <c r="N35" s="251"/>
      <c r="O35" s="248">
        <v>31.25</v>
      </c>
      <c r="P35" s="249"/>
      <c r="Q35" s="33" t="s">
        <v>15</v>
      </c>
      <c r="R35" s="250" t="s">
        <v>89</v>
      </c>
      <c r="S35" s="251"/>
      <c r="T35" s="252">
        <v>10</v>
      </c>
      <c r="U35" s="252"/>
      <c r="V35" s="34" t="s">
        <v>15</v>
      </c>
    </row>
    <row r="36" spans="2:22" s="2" customFormat="1" ht="13.5" customHeight="1" x14ac:dyDescent="0.2">
      <c r="B36" s="201"/>
      <c r="C36" s="261" t="s">
        <v>83</v>
      </c>
      <c r="D36" s="262"/>
      <c r="E36" s="266">
        <v>0</v>
      </c>
      <c r="F36" s="267"/>
      <c r="G36" s="65" t="s">
        <v>84</v>
      </c>
      <c r="H36" s="258" t="s">
        <v>88</v>
      </c>
      <c r="I36" s="259"/>
      <c r="J36" s="260">
        <v>8</v>
      </c>
      <c r="K36" s="260"/>
      <c r="L36" s="98" t="s">
        <v>15</v>
      </c>
      <c r="M36" s="261" t="s">
        <v>83</v>
      </c>
      <c r="N36" s="262"/>
      <c r="O36" s="266">
        <v>0</v>
      </c>
      <c r="P36" s="267"/>
      <c r="Q36" s="65" t="s">
        <v>84</v>
      </c>
      <c r="R36" s="258" t="s">
        <v>88</v>
      </c>
      <c r="S36" s="259"/>
      <c r="T36" s="260">
        <v>8</v>
      </c>
      <c r="U36" s="260"/>
      <c r="V36" s="98" t="s">
        <v>15</v>
      </c>
    </row>
    <row r="37" spans="2:22" s="2" customFormat="1" ht="15" customHeight="1" x14ac:dyDescent="0.2">
      <c r="B37" s="201"/>
      <c r="C37" s="263" t="s">
        <v>17</v>
      </c>
      <c r="D37" s="128"/>
      <c r="E37" s="31" t="s">
        <v>13</v>
      </c>
      <c r="F37" s="64">
        <v>2100</v>
      </c>
      <c r="G37" s="38" t="s">
        <v>14</v>
      </c>
      <c r="H37" s="63">
        <f>IF(J34="","",J34)</f>
        <v>147.5</v>
      </c>
      <c r="I37" s="38" t="s">
        <v>69</v>
      </c>
      <c r="J37" s="264">
        <f>IF(F37=0,"",(F37*H37))</f>
        <v>309750</v>
      </c>
      <c r="K37" s="264"/>
      <c r="L37" s="39" t="s">
        <v>16</v>
      </c>
      <c r="M37" s="263" t="s">
        <v>17</v>
      </c>
      <c r="N37" s="128"/>
      <c r="O37" s="40" t="s">
        <v>13</v>
      </c>
      <c r="P37" s="37">
        <v>1900</v>
      </c>
      <c r="Q37" s="38" t="s">
        <v>14</v>
      </c>
      <c r="R37" s="63">
        <f>IF(T34="","",T34)</f>
        <v>147.5</v>
      </c>
      <c r="S37" s="41" t="s">
        <v>69</v>
      </c>
      <c r="T37" s="265">
        <f>IF(P37=0,"",(P37*R37))</f>
        <v>280250</v>
      </c>
      <c r="U37" s="265"/>
      <c r="V37" s="42" t="s">
        <v>16</v>
      </c>
    </row>
    <row r="38" spans="2:22" s="2" customFormat="1" ht="15" customHeight="1" x14ac:dyDescent="0.2">
      <c r="B38" s="201"/>
      <c r="C38" s="124" t="str">
        <f>C36</f>
        <v>通常残業</v>
      </c>
      <c r="D38" s="125"/>
      <c r="E38" s="130"/>
      <c r="F38" s="130"/>
      <c r="G38" s="38" t="s">
        <v>14</v>
      </c>
      <c r="H38" s="57">
        <f>E36</f>
        <v>0</v>
      </c>
      <c r="I38" s="38" t="s">
        <v>69</v>
      </c>
      <c r="J38" s="264" t="str">
        <f>IF(E38=0,"",(E38*H38))</f>
        <v/>
      </c>
      <c r="K38" s="264"/>
      <c r="L38" s="39" t="s">
        <v>16</v>
      </c>
      <c r="M38" s="124" t="str">
        <f>M36</f>
        <v>通常残業</v>
      </c>
      <c r="N38" s="125"/>
      <c r="O38" s="130"/>
      <c r="P38" s="130"/>
      <c r="Q38" s="38" t="s">
        <v>14</v>
      </c>
      <c r="R38" s="57">
        <f>O36</f>
        <v>0</v>
      </c>
      <c r="S38" s="41" t="s">
        <v>69</v>
      </c>
      <c r="T38" s="264" t="str">
        <f>IF(O38=0,"",(O38*R38))</f>
        <v/>
      </c>
      <c r="U38" s="264"/>
      <c r="V38" s="42" t="s">
        <v>16</v>
      </c>
    </row>
    <row r="39" spans="2:22" s="2" customFormat="1" ht="15" customHeight="1" x14ac:dyDescent="0.2">
      <c r="B39" s="201"/>
      <c r="C39" s="124" t="str">
        <f>C35</f>
        <v>深夜時間</v>
      </c>
      <c r="D39" s="125"/>
      <c r="E39" s="130">
        <v>525</v>
      </c>
      <c r="F39" s="130"/>
      <c r="G39" s="38" t="s">
        <v>14</v>
      </c>
      <c r="H39" s="96">
        <v>31.25</v>
      </c>
      <c r="I39" s="38" t="s">
        <v>69</v>
      </c>
      <c r="J39" s="264">
        <f>IF(E39=0,"",(E39*H39))</f>
        <v>16406.25</v>
      </c>
      <c r="K39" s="264"/>
      <c r="L39" s="39" t="s">
        <v>16</v>
      </c>
      <c r="M39" s="124" t="str">
        <f>M35</f>
        <v>深夜時間</v>
      </c>
      <c r="N39" s="125"/>
      <c r="O39" s="130">
        <f>P37*0.25</f>
        <v>475</v>
      </c>
      <c r="P39" s="130"/>
      <c r="Q39" s="38" t="s">
        <v>14</v>
      </c>
      <c r="R39" s="97">
        <f>O35</f>
        <v>31.25</v>
      </c>
      <c r="S39" s="41" t="s">
        <v>69</v>
      </c>
      <c r="T39" s="264">
        <f>IF(O39=0,"",(O39*R39))</f>
        <v>14843.75</v>
      </c>
      <c r="U39" s="264"/>
      <c r="V39" s="42" t="s">
        <v>16</v>
      </c>
    </row>
    <row r="40" spans="2:22" s="2" customFormat="1" ht="15" customHeight="1" x14ac:dyDescent="0.2">
      <c r="B40" s="201"/>
      <c r="C40" s="126" t="str">
        <f>H35</f>
        <v>残業時間</v>
      </c>
      <c r="D40" s="127"/>
      <c r="E40" s="130">
        <f>F37*1.25</f>
        <v>2625</v>
      </c>
      <c r="F40" s="130"/>
      <c r="G40" s="38" t="s">
        <v>14</v>
      </c>
      <c r="H40" s="57">
        <f>J35</f>
        <v>10</v>
      </c>
      <c r="I40" s="38" t="s">
        <v>69</v>
      </c>
      <c r="J40" s="264">
        <f>IF(E40=0,"",(E40*H40))</f>
        <v>26250</v>
      </c>
      <c r="K40" s="264"/>
      <c r="L40" s="39" t="s">
        <v>16</v>
      </c>
      <c r="M40" s="126" t="str">
        <f>R35</f>
        <v>残業時間</v>
      </c>
      <c r="N40" s="127"/>
      <c r="O40" s="130">
        <f>P37*1.25</f>
        <v>2375</v>
      </c>
      <c r="P40" s="130"/>
      <c r="Q40" s="38" t="s">
        <v>14</v>
      </c>
      <c r="R40" s="57">
        <f>T35</f>
        <v>10</v>
      </c>
      <c r="S40" s="41" t="s">
        <v>69</v>
      </c>
      <c r="T40" s="264">
        <f>IF(O40=0,"",(O40*R40))</f>
        <v>23750</v>
      </c>
      <c r="U40" s="264"/>
      <c r="V40" s="42" t="s">
        <v>16</v>
      </c>
    </row>
    <row r="41" spans="2:22" s="2" customFormat="1" ht="15" customHeight="1" x14ac:dyDescent="0.2">
      <c r="B41" s="201"/>
      <c r="C41" s="126" t="str">
        <f>H36</f>
        <v>休日出勤</v>
      </c>
      <c r="D41" s="128"/>
      <c r="E41" s="130">
        <f>F37*1.25</f>
        <v>2625</v>
      </c>
      <c r="F41" s="130"/>
      <c r="G41" s="38" t="s">
        <v>14</v>
      </c>
      <c r="H41" s="57">
        <f>J36</f>
        <v>8</v>
      </c>
      <c r="I41" s="38" t="s">
        <v>69</v>
      </c>
      <c r="J41" s="264">
        <f>IF(E41=0,"",(E41*H41))</f>
        <v>21000</v>
      </c>
      <c r="K41" s="264"/>
      <c r="L41" s="39" t="s">
        <v>16</v>
      </c>
      <c r="M41" s="126" t="str">
        <f>R36</f>
        <v>休日出勤</v>
      </c>
      <c r="N41" s="128"/>
      <c r="O41" s="130">
        <f>P37*1.25</f>
        <v>2375</v>
      </c>
      <c r="P41" s="130"/>
      <c r="Q41" s="38" t="s">
        <v>14</v>
      </c>
      <c r="R41" s="57">
        <f>T36</f>
        <v>8</v>
      </c>
      <c r="S41" s="41" t="s">
        <v>69</v>
      </c>
      <c r="T41" s="264">
        <f>IF(O41=0,"",(O41*R41))</f>
        <v>19000</v>
      </c>
      <c r="U41" s="264"/>
      <c r="V41" s="42" t="s">
        <v>16</v>
      </c>
    </row>
    <row r="42" spans="2:22" s="2" customFormat="1" ht="15" customHeight="1" x14ac:dyDescent="0.2">
      <c r="B42" s="201"/>
      <c r="C42" s="36"/>
      <c r="D42" s="43"/>
      <c r="E42" s="7"/>
      <c r="F42" s="37"/>
      <c r="G42" s="38"/>
      <c r="H42" s="37"/>
      <c r="I42" s="38"/>
      <c r="J42" s="264"/>
      <c r="K42" s="264"/>
      <c r="L42" s="39" t="s">
        <v>16</v>
      </c>
      <c r="M42" s="36"/>
      <c r="N42" s="43"/>
      <c r="O42" s="7"/>
      <c r="P42" s="282"/>
      <c r="Q42" s="282"/>
      <c r="R42" s="282"/>
      <c r="S42" s="282"/>
      <c r="T42" s="264"/>
      <c r="U42" s="264"/>
      <c r="V42" s="42" t="s">
        <v>16</v>
      </c>
    </row>
    <row r="43" spans="2:22" s="2" customFormat="1" ht="15" customHeight="1" thickBot="1" x14ac:dyDescent="0.25">
      <c r="B43" s="201"/>
      <c r="C43" s="102" t="s">
        <v>56</v>
      </c>
      <c r="D43" s="103"/>
      <c r="E43" s="107" t="s">
        <v>112</v>
      </c>
      <c r="F43" s="107"/>
      <c r="G43" s="46" t="s">
        <v>14</v>
      </c>
      <c r="H43" s="45"/>
      <c r="I43" s="46" t="s">
        <v>111</v>
      </c>
      <c r="J43" s="270">
        <v>13700</v>
      </c>
      <c r="K43" s="270"/>
      <c r="L43" s="47" t="s">
        <v>16</v>
      </c>
      <c r="M43" s="102" t="s">
        <v>56</v>
      </c>
      <c r="N43" s="103"/>
      <c r="O43" s="44"/>
      <c r="P43" s="45"/>
      <c r="Q43" s="46" t="s">
        <v>14</v>
      </c>
      <c r="R43" s="45">
        <f>O34</f>
        <v>20</v>
      </c>
      <c r="S43" s="46" t="s">
        <v>12</v>
      </c>
      <c r="T43" s="270">
        <f>IF(P43*R43&gt;=13000,13000,P43*R43)</f>
        <v>0</v>
      </c>
      <c r="U43" s="270"/>
      <c r="V43" s="48" t="s">
        <v>16</v>
      </c>
    </row>
    <row r="44" spans="2:22" s="82" customFormat="1" ht="18" customHeight="1" thickTop="1" x14ac:dyDescent="0.2">
      <c r="B44" s="202"/>
      <c r="C44" s="77"/>
      <c r="D44" s="78"/>
      <c r="E44" s="79" t="s">
        <v>18</v>
      </c>
      <c r="F44" s="79"/>
      <c r="G44" s="79"/>
      <c r="H44" s="80" t="s">
        <v>19</v>
      </c>
      <c r="I44" s="106">
        <f>SUM(J37:K43)</f>
        <v>387106.25</v>
      </c>
      <c r="J44" s="106"/>
      <c r="K44" s="106"/>
      <c r="L44" s="81" t="s">
        <v>16</v>
      </c>
      <c r="M44" s="77"/>
      <c r="N44" s="78"/>
      <c r="O44" s="79" t="s">
        <v>18</v>
      </c>
      <c r="P44" s="79"/>
      <c r="Q44" s="79"/>
      <c r="R44" s="80" t="s">
        <v>19</v>
      </c>
      <c r="S44" s="106">
        <f>SUM(T37:U43)</f>
        <v>337843.75</v>
      </c>
      <c r="T44" s="106"/>
      <c r="U44" s="106"/>
      <c r="V44" s="81" t="s">
        <v>16</v>
      </c>
    </row>
    <row r="45" spans="2:22" s="2" customFormat="1" ht="12" hidden="1" customHeight="1" x14ac:dyDescent="0.2">
      <c r="B45" s="138"/>
      <c r="C45" s="138"/>
      <c r="D45" s="138"/>
      <c r="E45" s="138"/>
      <c r="F45" s="138"/>
      <c r="G45" s="138"/>
      <c r="H45" s="138"/>
      <c r="I45" s="138"/>
      <c r="J45" s="138"/>
      <c r="K45" s="138"/>
      <c r="L45" s="138"/>
      <c r="M45" s="138"/>
      <c r="N45" s="138"/>
      <c r="O45" s="138"/>
      <c r="P45" s="138"/>
      <c r="Q45" s="138"/>
      <c r="R45" s="138"/>
      <c r="S45" s="138"/>
      <c r="T45" s="138"/>
      <c r="U45" s="138"/>
      <c r="V45" s="138"/>
    </row>
    <row r="46" spans="2:22" s="2" customFormat="1" ht="13.5" hidden="1" customHeight="1" x14ac:dyDescent="0.2">
      <c r="B46" s="139" t="s">
        <v>48</v>
      </c>
      <c r="C46" s="274" t="s">
        <v>25</v>
      </c>
      <c r="D46" s="275"/>
      <c r="E46" s="273">
        <f>E40</f>
        <v>2625</v>
      </c>
      <c r="F46" s="271"/>
      <c r="G46" s="49" t="s">
        <v>27</v>
      </c>
      <c r="H46" s="276" t="s">
        <v>26</v>
      </c>
      <c r="I46" s="277"/>
      <c r="J46" s="271">
        <f>E39</f>
        <v>525</v>
      </c>
      <c r="K46" s="271"/>
      <c r="L46" s="50" t="s">
        <v>27</v>
      </c>
      <c r="M46" s="274" t="s">
        <v>25</v>
      </c>
      <c r="N46" s="275"/>
      <c r="O46" s="273">
        <f>O40</f>
        <v>2375</v>
      </c>
      <c r="P46" s="271"/>
      <c r="Q46" s="49" t="s">
        <v>27</v>
      </c>
      <c r="R46" s="276" t="s">
        <v>26</v>
      </c>
      <c r="S46" s="277"/>
      <c r="T46" s="271">
        <f>O39</f>
        <v>475</v>
      </c>
      <c r="U46" s="271"/>
      <c r="V46" s="50" t="s">
        <v>27</v>
      </c>
    </row>
    <row r="47" spans="2:22" s="2" customFormat="1" ht="13.5" hidden="1" customHeight="1" x14ac:dyDescent="0.2">
      <c r="B47" s="140"/>
      <c r="C47" s="246" t="s">
        <v>28</v>
      </c>
      <c r="D47" s="247"/>
      <c r="E47" s="272">
        <f>E41</f>
        <v>2625</v>
      </c>
      <c r="F47" s="252"/>
      <c r="G47" s="33" t="s">
        <v>27</v>
      </c>
      <c r="H47" s="250" t="s">
        <v>83</v>
      </c>
      <c r="I47" s="251"/>
      <c r="J47" s="252">
        <f>F39</f>
        <v>0</v>
      </c>
      <c r="K47" s="252"/>
      <c r="L47" s="34" t="s">
        <v>29</v>
      </c>
      <c r="M47" s="246" t="s">
        <v>28</v>
      </c>
      <c r="N47" s="247"/>
      <c r="O47" s="272">
        <f>O41</f>
        <v>2375</v>
      </c>
      <c r="P47" s="252"/>
      <c r="Q47" s="33" t="s">
        <v>27</v>
      </c>
      <c r="R47" s="250" t="s">
        <v>83</v>
      </c>
      <c r="S47" s="251"/>
      <c r="T47" s="252">
        <f>P39</f>
        <v>0</v>
      </c>
      <c r="U47" s="252"/>
      <c r="V47" s="34" t="s">
        <v>29</v>
      </c>
    </row>
    <row r="48" spans="2:22" s="2" customFormat="1" ht="13.5" hidden="1" customHeight="1" x14ac:dyDescent="0.2">
      <c r="B48" s="140"/>
      <c r="C48" s="280"/>
      <c r="D48" s="281"/>
      <c r="E48" s="272"/>
      <c r="F48" s="252"/>
      <c r="G48" s="33"/>
      <c r="H48" s="250"/>
      <c r="I48" s="251"/>
      <c r="J48" s="252"/>
      <c r="K48" s="252"/>
      <c r="L48" s="34"/>
      <c r="M48" s="280"/>
      <c r="N48" s="281"/>
      <c r="O48" s="272"/>
      <c r="P48" s="252"/>
      <c r="Q48" s="33"/>
      <c r="R48" s="250"/>
      <c r="S48" s="251"/>
      <c r="T48" s="252"/>
      <c r="U48" s="252"/>
      <c r="V48" s="34"/>
    </row>
    <row r="49" spans="2:23" s="2" customFormat="1" ht="0.75" hidden="1" customHeight="1" x14ac:dyDescent="0.2">
      <c r="B49" s="141"/>
      <c r="C49" s="278" t="s">
        <v>54</v>
      </c>
      <c r="D49" s="261"/>
      <c r="E49" s="279">
        <v>13000</v>
      </c>
      <c r="F49" s="260"/>
      <c r="G49" s="51" t="s">
        <v>29</v>
      </c>
      <c r="H49" s="258"/>
      <c r="I49" s="259"/>
      <c r="J49" s="260"/>
      <c r="K49" s="260"/>
      <c r="L49" s="35"/>
      <c r="M49" s="278" t="s">
        <v>54</v>
      </c>
      <c r="N49" s="261"/>
      <c r="O49" s="279">
        <v>1300</v>
      </c>
      <c r="P49" s="260"/>
      <c r="Q49" s="51" t="s">
        <v>29</v>
      </c>
      <c r="R49" s="258"/>
      <c r="S49" s="259"/>
      <c r="T49" s="260"/>
      <c r="U49" s="260"/>
      <c r="V49" s="35"/>
    </row>
    <row r="50" spans="2:23" s="2" customFormat="1" ht="9" customHeight="1" x14ac:dyDescent="0.2">
      <c r="B50" s="138"/>
      <c r="C50" s="138"/>
      <c r="D50" s="138"/>
      <c r="E50" s="138"/>
      <c r="F50" s="138"/>
      <c r="G50" s="138"/>
      <c r="H50" s="138"/>
      <c r="I50" s="138"/>
      <c r="J50" s="138"/>
      <c r="K50" s="138"/>
      <c r="L50" s="138"/>
      <c r="M50" s="138"/>
      <c r="N50" s="138"/>
      <c r="O50" s="138"/>
      <c r="P50" s="138"/>
      <c r="Q50" s="138"/>
      <c r="R50" s="138"/>
      <c r="S50" s="138"/>
      <c r="T50" s="138"/>
      <c r="U50" s="138"/>
      <c r="V50" s="138"/>
    </row>
    <row r="51" spans="2:23" s="2" customFormat="1" ht="16.05" customHeight="1" x14ac:dyDescent="0.2">
      <c r="B51" s="185" t="s">
        <v>34</v>
      </c>
      <c r="C51" s="297"/>
      <c r="D51" s="186"/>
      <c r="E51" s="5"/>
      <c r="F51" s="5" t="s">
        <v>35</v>
      </c>
      <c r="G51" s="16" t="s">
        <v>135</v>
      </c>
      <c r="H51" s="5" t="s">
        <v>36</v>
      </c>
      <c r="I51" s="5"/>
      <c r="J51" s="16" t="s">
        <v>136</v>
      </c>
      <c r="K51" s="5">
        <v>1</v>
      </c>
      <c r="L51" s="5" t="s">
        <v>37</v>
      </c>
      <c r="M51" s="5"/>
      <c r="N51" s="5"/>
      <c r="O51" s="5"/>
      <c r="P51" s="5"/>
      <c r="Q51" s="5"/>
      <c r="R51" s="5"/>
      <c r="S51" s="5"/>
      <c r="T51" s="5"/>
      <c r="U51" s="5"/>
      <c r="V51" s="9"/>
    </row>
    <row r="52" spans="2:23" s="2" customFormat="1" ht="16.05" customHeight="1" x14ac:dyDescent="0.2">
      <c r="B52" s="185" t="s">
        <v>75</v>
      </c>
      <c r="C52" s="297"/>
      <c r="D52" s="186"/>
      <c r="E52" s="298" t="s">
        <v>77</v>
      </c>
      <c r="F52" s="287"/>
      <c r="G52" s="83"/>
      <c r="H52" s="299" t="s">
        <v>78</v>
      </c>
      <c r="I52" s="287"/>
      <c r="J52" s="85"/>
      <c r="K52" s="287" t="s">
        <v>120</v>
      </c>
      <c r="L52" s="287"/>
      <c r="M52" s="83"/>
      <c r="N52" s="299" t="s">
        <v>85</v>
      </c>
      <c r="O52" s="287"/>
      <c r="P52" s="85"/>
      <c r="Q52" s="299" t="s">
        <v>76</v>
      </c>
      <c r="R52" s="287"/>
      <c r="S52" s="85"/>
      <c r="T52" s="287" t="s">
        <v>101</v>
      </c>
      <c r="U52" s="287"/>
      <c r="V52" s="84"/>
      <c r="W52" s="8"/>
    </row>
    <row r="53" spans="2:23" s="2" customFormat="1" ht="16.05" customHeight="1" x14ac:dyDescent="0.2">
      <c r="B53" s="113" t="s">
        <v>100</v>
      </c>
      <c r="C53" s="114"/>
      <c r="D53" s="114"/>
      <c r="E53" s="150" t="s">
        <v>102</v>
      </c>
      <c r="F53" s="151"/>
      <c r="G53" s="151"/>
      <c r="H53" s="151" t="s">
        <v>63</v>
      </c>
      <c r="I53" s="151"/>
      <c r="J53" s="86"/>
      <c r="K53" s="151" t="s">
        <v>64</v>
      </c>
      <c r="L53" s="151"/>
      <c r="M53" s="87"/>
      <c r="N53" s="148" t="s">
        <v>144</v>
      </c>
      <c r="O53" s="148"/>
      <c r="P53" s="148"/>
      <c r="Q53" s="148"/>
      <c r="R53" s="148"/>
      <c r="S53" s="148"/>
      <c r="T53" s="148"/>
      <c r="U53" s="148"/>
      <c r="V53" s="149"/>
    </row>
    <row r="54" spans="2:23" s="2" customFormat="1" ht="16.05" customHeight="1" x14ac:dyDescent="0.2">
      <c r="B54" s="99"/>
      <c r="C54" s="100"/>
      <c r="D54" s="100"/>
      <c r="E54" s="129" t="s">
        <v>103</v>
      </c>
      <c r="F54" s="121"/>
      <c r="G54" s="121"/>
      <c r="H54" s="121" t="s">
        <v>63</v>
      </c>
      <c r="I54" s="121"/>
      <c r="J54" s="88"/>
      <c r="K54" s="121" t="s">
        <v>64</v>
      </c>
      <c r="L54" s="121"/>
      <c r="M54" s="89"/>
      <c r="N54" s="104"/>
      <c r="O54" s="104"/>
      <c r="P54" s="104"/>
      <c r="Q54" s="104"/>
      <c r="R54" s="104"/>
      <c r="S54" s="104"/>
      <c r="T54" s="104"/>
      <c r="U54" s="104"/>
      <c r="V54" s="105"/>
    </row>
    <row r="55" spans="2:23" s="2" customFormat="1" ht="16.05" customHeight="1" x14ac:dyDescent="0.2">
      <c r="B55" s="99"/>
      <c r="C55" s="100"/>
      <c r="D55" s="100"/>
      <c r="E55" s="129" t="s">
        <v>122</v>
      </c>
      <c r="F55" s="121"/>
      <c r="G55" s="121"/>
      <c r="H55" s="121" t="s">
        <v>63</v>
      </c>
      <c r="I55" s="121"/>
      <c r="J55" s="88"/>
      <c r="K55" s="121" t="s">
        <v>64</v>
      </c>
      <c r="L55" s="121"/>
      <c r="M55" s="89"/>
      <c r="N55" s="104"/>
      <c r="O55" s="104"/>
      <c r="P55" s="104"/>
      <c r="Q55" s="104"/>
      <c r="R55" s="104"/>
      <c r="S55" s="104"/>
      <c r="T55" s="104"/>
      <c r="U55" s="104"/>
      <c r="V55" s="105"/>
    </row>
    <row r="56" spans="2:23" s="2" customFormat="1" ht="16.05" customHeight="1" x14ac:dyDescent="0.2">
      <c r="B56" s="116"/>
      <c r="C56" s="117"/>
      <c r="D56" s="117"/>
      <c r="E56" s="123" t="s">
        <v>101</v>
      </c>
      <c r="F56" s="122"/>
      <c r="G56" s="122"/>
      <c r="H56" s="122" t="s">
        <v>63</v>
      </c>
      <c r="I56" s="122"/>
      <c r="J56" s="90"/>
      <c r="K56" s="122" t="s">
        <v>64</v>
      </c>
      <c r="L56" s="122"/>
      <c r="M56" s="91"/>
      <c r="N56" s="268" t="s">
        <v>143</v>
      </c>
      <c r="O56" s="268"/>
      <c r="P56" s="268"/>
      <c r="Q56" s="268"/>
      <c r="R56" s="268"/>
      <c r="S56" s="268"/>
      <c r="T56" s="268"/>
      <c r="U56" s="268"/>
      <c r="V56" s="269"/>
    </row>
    <row r="57" spans="2:23" s="2" customFormat="1" ht="16.05" customHeight="1" x14ac:dyDescent="0.2">
      <c r="B57" s="70"/>
      <c r="C57" s="72" t="s">
        <v>106</v>
      </c>
      <c r="D57" s="71"/>
      <c r="E57" s="123" t="s">
        <v>107</v>
      </c>
      <c r="F57" s="122"/>
      <c r="G57" s="122"/>
      <c r="H57" s="122" t="s">
        <v>63</v>
      </c>
      <c r="I57" s="122"/>
      <c r="J57" s="88"/>
      <c r="K57" s="122" t="s">
        <v>64</v>
      </c>
      <c r="L57" s="122"/>
      <c r="M57" s="89"/>
      <c r="N57" s="90" t="s">
        <v>108</v>
      </c>
      <c r="O57" s="90"/>
      <c r="P57" s="90"/>
      <c r="Q57" s="90"/>
      <c r="R57" s="90"/>
      <c r="S57" s="90"/>
      <c r="T57" s="90"/>
      <c r="U57" s="90"/>
      <c r="V57" s="92"/>
    </row>
    <row r="58" spans="2:23" s="2" customFormat="1" ht="24" customHeight="1" x14ac:dyDescent="0.2">
      <c r="B58" s="113" t="s">
        <v>39</v>
      </c>
      <c r="C58" s="114"/>
      <c r="D58" s="115"/>
      <c r="E58" s="288" t="s">
        <v>110</v>
      </c>
      <c r="F58" s="289"/>
      <c r="G58" s="289"/>
      <c r="H58" s="289"/>
      <c r="I58" s="289"/>
      <c r="J58" s="289"/>
      <c r="K58" s="289"/>
      <c r="L58" s="289"/>
      <c r="M58" s="289"/>
      <c r="N58" s="289"/>
      <c r="O58" s="289"/>
      <c r="P58" s="289"/>
      <c r="Q58" s="289"/>
      <c r="R58" s="289"/>
      <c r="S58" s="289"/>
      <c r="T58" s="289"/>
      <c r="U58" s="289"/>
      <c r="V58" s="290"/>
    </row>
    <row r="59" spans="2:23" s="2" customFormat="1" ht="24" customHeight="1" x14ac:dyDescent="0.2">
      <c r="B59" s="116"/>
      <c r="C59" s="117"/>
      <c r="D59" s="118"/>
      <c r="E59" s="291"/>
      <c r="F59" s="292"/>
      <c r="G59" s="292"/>
      <c r="H59" s="292"/>
      <c r="I59" s="292"/>
      <c r="J59" s="292"/>
      <c r="K59" s="292"/>
      <c r="L59" s="292"/>
      <c r="M59" s="292"/>
      <c r="N59" s="292"/>
      <c r="O59" s="292"/>
      <c r="P59" s="292"/>
      <c r="Q59" s="292"/>
      <c r="R59" s="292"/>
      <c r="S59" s="292"/>
      <c r="T59" s="292"/>
      <c r="U59" s="292"/>
      <c r="V59" s="293"/>
    </row>
    <row r="60" spans="2:23" s="2" customFormat="1" ht="16.05" customHeight="1" x14ac:dyDescent="0.2">
      <c r="B60" s="73"/>
      <c r="C60" s="74"/>
      <c r="D60" s="75"/>
      <c r="E60" s="119" t="s">
        <v>109</v>
      </c>
      <c r="F60" s="119"/>
      <c r="G60" s="119"/>
      <c r="H60" s="119"/>
      <c r="I60" s="119"/>
      <c r="J60" s="119"/>
      <c r="K60" s="119"/>
      <c r="L60" s="119"/>
      <c r="M60" s="119"/>
      <c r="N60" s="119"/>
      <c r="O60" s="119"/>
      <c r="P60" s="119"/>
      <c r="Q60" s="119"/>
      <c r="R60" s="119"/>
      <c r="S60" s="119"/>
      <c r="T60" s="119"/>
      <c r="U60" s="119"/>
      <c r="V60" s="120"/>
    </row>
    <row r="61" spans="2:23" s="2" customFormat="1" ht="16.05" customHeight="1" x14ac:dyDescent="0.2">
      <c r="B61" s="99" t="s">
        <v>90</v>
      </c>
      <c r="C61" s="100"/>
      <c r="D61" s="101"/>
      <c r="E61" s="154" t="s">
        <v>99</v>
      </c>
      <c r="F61" s="154"/>
      <c r="G61" s="154"/>
      <c r="H61" s="154"/>
      <c r="I61" s="154"/>
      <c r="J61" s="154"/>
      <c r="K61" s="154"/>
      <c r="L61" s="154"/>
      <c r="M61" s="154"/>
      <c r="N61" s="154"/>
      <c r="O61" s="154"/>
      <c r="P61" s="154"/>
      <c r="Q61" s="154"/>
      <c r="R61" s="154"/>
      <c r="S61" s="154"/>
      <c r="T61" s="154"/>
      <c r="U61" s="154"/>
      <c r="V61" s="155"/>
    </row>
    <row r="62" spans="2:23" s="2" customFormat="1" ht="16.05" customHeight="1" x14ac:dyDescent="0.2">
      <c r="B62" s="70"/>
      <c r="C62" s="72" t="s">
        <v>94</v>
      </c>
      <c r="D62" s="71"/>
      <c r="E62" s="154" t="s">
        <v>98</v>
      </c>
      <c r="F62" s="154"/>
      <c r="G62" s="154"/>
      <c r="H62" s="154"/>
      <c r="I62" s="154"/>
      <c r="J62" s="154"/>
      <c r="K62" s="154"/>
      <c r="L62" s="154"/>
      <c r="M62" s="154"/>
      <c r="N62" s="154"/>
      <c r="O62" s="154"/>
      <c r="P62" s="154"/>
      <c r="Q62" s="154"/>
      <c r="R62" s="154"/>
      <c r="S62" s="154"/>
      <c r="T62" s="154"/>
      <c r="U62" s="154"/>
      <c r="V62" s="155"/>
    </row>
    <row r="63" spans="2:23" s="2" customFormat="1" ht="16.05" customHeight="1" x14ac:dyDescent="0.2">
      <c r="B63" s="70"/>
      <c r="C63" s="72" t="s">
        <v>91</v>
      </c>
      <c r="D63" s="71"/>
      <c r="E63" s="156" t="s">
        <v>92</v>
      </c>
      <c r="F63" s="156"/>
      <c r="G63" s="156" t="str">
        <f>D3</f>
        <v>富双合成株式会社　</v>
      </c>
      <c r="H63" s="156"/>
      <c r="I63" s="156"/>
      <c r="J63" s="156"/>
      <c r="K63" s="156"/>
      <c r="L63" s="156" t="str">
        <f>J3</f>
        <v>久喜工場</v>
      </c>
      <c r="M63" s="156"/>
      <c r="N63" s="156"/>
      <c r="O63" s="156"/>
      <c r="P63" s="154" t="s">
        <v>93</v>
      </c>
      <c r="Q63" s="154"/>
      <c r="R63" s="154"/>
      <c r="S63" s="154"/>
      <c r="T63" s="154"/>
      <c r="U63" s="154"/>
      <c r="V63" s="155"/>
    </row>
    <row r="64" spans="2:23" s="2" customFormat="1" ht="16.05" customHeight="1" x14ac:dyDescent="0.2">
      <c r="B64" s="67"/>
      <c r="C64" s="68"/>
      <c r="D64" s="69"/>
      <c r="E64" s="159" t="s">
        <v>95</v>
      </c>
      <c r="F64" s="157"/>
      <c r="G64" s="157"/>
      <c r="H64" s="157"/>
      <c r="I64" s="157"/>
      <c r="J64" s="157"/>
      <c r="K64" s="157"/>
      <c r="L64" s="157"/>
      <c r="M64" s="157" t="s">
        <v>96</v>
      </c>
      <c r="N64" s="157"/>
      <c r="O64" s="157"/>
      <c r="P64" s="157"/>
      <c r="Q64" s="157"/>
      <c r="R64" s="157"/>
      <c r="S64" s="157"/>
      <c r="T64" s="157"/>
      <c r="U64" s="157"/>
      <c r="V64" s="158"/>
    </row>
    <row r="65" spans="2:22" s="2" customFormat="1" ht="15.75" customHeight="1" x14ac:dyDescent="0.2">
      <c r="B65" s="113" t="s">
        <v>104</v>
      </c>
      <c r="C65" s="114"/>
      <c r="D65" s="115"/>
      <c r="E65" s="119" t="s">
        <v>113</v>
      </c>
      <c r="F65" s="119"/>
      <c r="G65" s="119"/>
      <c r="H65" s="119"/>
      <c r="I65" s="119"/>
      <c r="J65" s="119"/>
      <c r="K65" s="119"/>
      <c r="L65" s="119"/>
      <c r="M65" s="119"/>
      <c r="N65" s="119"/>
      <c r="O65" s="119"/>
      <c r="P65" s="119"/>
      <c r="Q65" s="119"/>
      <c r="R65" s="119"/>
      <c r="S65" s="119"/>
      <c r="T65" s="119"/>
      <c r="U65" s="119"/>
      <c r="V65" s="120"/>
    </row>
    <row r="66" spans="2:22" s="2" customFormat="1" ht="16.05" customHeight="1" x14ac:dyDescent="0.2">
      <c r="B66" s="116" t="s">
        <v>105</v>
      </c>
      <c r="C66" s="117"/>
      <c r="D66" s="118"/>
      <c r="E66" s="152" t="s">
        <v>97</v>
      </c>
      <c r="F66" s="152"/>
      <c r="G66" s="152"/>
      <c r="H66" s="152"/>
      <c r="I66" s="152"/>
      <c r="J66" s="152"/>
      <c r="K66" s="152"/>
      <c r="L66" s="152"/>
      <c r="M66" s="152"/>
      <c r="N66" s="152"/>
      <c r="O66" s="152"/>
      <c r="P66" s="152"/>
      <c r="Q66" s="152"/>
      <c r="R66" s="152"/>
      <c r="S66" s="152"/>
      <c r="T66" s="152"/>
      <c r="U66" s="152"/>
      <c r="V66" s="153"/>
    </row>
    <row r="67" spans="2:22" s="2" customFormat="1" ht="13.05" customHeight="1" x14ac:dyDescent="0.2">
      <c r="B67" s="20" t="s">
        <v>65</v>
      </c>
      <c r="C67" s="283" t="s">
        <v>66</v>
      </c>
      <c r="D67" s="283"/>
      <c r="E67" s="283"/>
      <c r="F67" s="283"/>
      <c r="G67" s="283"/>
      <c r="H67" s="283"/>
      <c r="I67" s="283"/>
      <c r="J67" s="283"/>
      <c r="K67" s="283"/>
      <c r="L67" s="283"/>
      <c r="M67" s="283"/>
      <c r="N67" s="283"/>
      <c r="O67" s="283"/>
      <c r="P67" s="283"/>
      <c r="Q67" s="283"/>
      <c r="R67" s="284"/>
      <c r="S67" s="294" t="s">
        <v>42</v>
      </c>
      <c r="T67" s="295"/>
      <c r="U67" s="295"/>
      <c r="V67" s="296"/>
    </row>
    <row r="68" spans="2:22" s="2" customFormat="1" ht="13.05" customHeight="1" x14ac:dyDescent="0.2">
      <c r="B68" s="20" t="s">
        <v>65</v>
      </c>
      <c r="C68" s="283" t="s">
        <v>38</v>
      </c>
      <c r="D68" s="283"/>
      <c r="E68" s="283"/>
      <c r="F68" s="283"/>
      <c r="G68" s="283"/>
      <c r="H68" s="283"/>
      <c r="I68" s="283"/>
      <c r="J68" s="283"/>
      <c r="K68" s="283"/>
      <c r="L68" s="283"/>
      <c r="M68" s="283"/>
      <c r="N68" s="283"/>
      <c r="O68" s="283"/>
      <c r="P68" s="283"/>
      <c r="Q68" s="283"/>
      <c r="R68" s="284"/>
      <c r="S68" s="52">
        <v>5</v>
      </c>
      <c r="T68" s="285"/>
      <c r="U68" s="285"/>
      <c r="V68" s="53"/>
    </row>
    <row r="69" spans="2:22" s="2" customFormat="1" ht="13.05" customHeight="1" x14ac:dyDescent="0.2">
      <c r="B69" s="20" t="s">
        <v>65</v>
      </c>
      <c r="C69" s="283" t="s">
        <v>79</v>
      </c>
      <c r="D69" s="283"/>
      <c r="E69" s="283"/>
      <c r="F69" s="283"/>
      <c r="G69" s="283"/>
      <c r="H69" s="283"/>
      <c r="I69" s="283"/>
      <c r="J69" s="283"/>
      <c r="K69" s="283"/>
      <c r="L69" s="283"/>
      <c r="M69" s="283"/>
      <c r="N69" s="283"/>
      <c r="O69" s="283"/>
      <c r="P69" s="283"/>
      <c r="Q69" s="283"/>
      <c r="R69" s="284"/>
      <c r="S69" s="11">
        <v>4</v>
      </c>
      <c r="T69" s="286"/>
      <c r="U69" s="286"/>
      <c r="V69" s="12"/>
    </row>
    <row r="70" spans="2:22" s="2" customFormat="1" ht="13.05" customHeight="1" x14ac:dyDescent="0.2">
      <c r="B70" s="20" t="s">
        <v>65</v>
      </c>
      <c r="C70" s="283" t="s">
        <v>81</v>
      </c>
      <c r="D70" s="283"/>
      <c r="E70" s="283"/>
      <c r="F70" s="283"/>
      <c r="G70" s="283"/>
      <c r="H70" s="283"/>
      <c r="I70" s="283"/>
      <c r="J70" s="283"/>
      <c r="K70" s="283"/>
      <c r="L70" s="283"/>
      <c r="M70" s="283"/>
      <c r="N70" s="283"/>
      <c r="O70" s="283"/>
      <c r="P70" s="283"/>
      <c r="Q70" s="283"/>
      <c r="R70" s="284"/>
      <c r="S70" s="11">
        <v>3</v>
      </c>
      <c r="T70" s="286"/>
      <c r="U70" s="286"/>
      <c r="V70" s="12"/>
    </row>
    <row r="71" spans="2:22" s="2" customFormat="1" ht="13.05" customHeight="1" x14ac:dyDescent="0.2">
      <c r="B71" s="20" t="s">
        <v>65</v>
      </c>
      <c r="C71" s="303" t="s">
        <v>80</v>
      </c>
      <c r="D71" s="303"/>
      <c r="E71" s="303"/>
      <c r="F71" s="303"/>
      <c r="G71" s="303"/>
      <c r="H71" s="303"/>
      <c r="I71" s="303"/>
      <c r="J71" s="303"/>
      <c r="K71" s="303"/>
      <c r="L71" s="303"/>
      <c r="M71" s="303"/>
      <c r="N71" s="303"/>
      <c r="O71" s="303"/>
      <c r="P71" s="303"/>
      <c r="Q71" s="303"/>
      <c r="R71" s="304"/>
      <c r="S71" s="11">
        <v>2</v>
      </c>
      <c r="T71" s="286"/>
      <c r="U71" s="286"/>
      <c r="V71" s="12"/>
    </row>
    <row r="72" spans="2:22" s="2" customFormat="1" ht="13.05" customHeight="1" x14ac:dyDescent="0.2">
      <c r="B72" s="20" t="s">
        <v>65</v>
      </c>
      <c r="C72" s="283" t="s">
        <v>141</v>
      </c>
      <c r="D72" s="283"/>
      <c r="E72" s="283"/>
      <c r="F72" s="283"/>
      <c r="G72" s="283"/>
      <c r="H72" s="283"/>
      <c r="I72" s="283"/>
      <c r="J72" s="283"/>
      <c r="K72" s="283"/>
      <c r="L72" s="283"/>
      <c r="M72" s="283"/>
      <c r="N72" s="283"/>
      <c r="O72" s="283"/>
      <c r="P72" s="283"/>
      <c r="Q72" s="283"/>
      <c r="R72" s="284"/>
      <c r="S72" s="13">
        <v>1</v>
      </c>
      <c r="T72" s="286"/>
      <c r="U72" s="286"/>
      <c r="V72" s="14"/>
    </row>
    <row r="73" spans="2:22" s="2" customFormat="1" ht="13.05" customHeight="1" x14ac:dyDescent="0.2">
      <c r="B73" s="20"/>
      <c r="C73" s="283" t="s">
        <v>142</v>
      </c>
      <c r="D73" s="283"/>
      <c r="E73" s="283"/>
      <c r="F73" s="283"/>
      <c r="G73" s="283"/>
      <c r="H73" s="283"/>
      <c r="I73" s="283"/>
      <c r="J73" s="283"/>
      <c r="K73" s="283"/>
      <c r="L73" s="283"/>
      <c r="M73" s="283"/>
      <c r="N73" s="283"/>
      <c r="O73" s="283"/>
      <c r="P73" s="283"/>
      <c r="Q73" s="283"/>
      <c r="R73" s="284"/>
      <c r="S73" s="13">
        <v>0</v>
      </c>
      <c r="T73" s="286"/>
      <c r="U73" s="286"/>
      <c r="V73" s="14"/>
    </row>
    <row r="74" spans="2:22" s="2" customFormat="1" ht="13.05" customHeight="1" x14ac:dyDescent="0.2">
      <c r="B74" s="54"/>
      <c r="C74" s="300"/>
      <c r="D74" s="300"/>
      <c r="E74" s="300"/>
      <c r="F74" s="300"/>
      <c r="G74" s="300"/>
      <c r="H74" s="300"/>
      <c r="I74" s="300"/>
      <c r="J74" s="300"/>
      <c r="K74" s="300"/>
      <c r="L74" s="300"/>
      <c r="M74" s="300"/>
      <c r="N74" s="300"/>
      <c r="O74" s="300"/>
      <c r="P74" s="300"/>
      <c r="Q74" s="300"/>
      <c r="R74" s="301"/>
      <c r="S74" s="55" t="s">
        <v>71</v>
      </c>
      <c r="T74" s="302" t="s">
        <v>43</v>
      </c>
      <c r="U74" s="302"/>
      <c r="V74" s="56" t="s">
        <v>44</v>
      </c>
    </row>
    <row r="75" spans="2:22" s="2" customFormat="1" x14ac:dyDescent="0.2">
      <c r="B75" s="15"/>
      <c r="C75" s="15"/>
      <c r="D75" s="15"/>
      <c r="E75" s="15"/>
      <c r="F75" s="15"/>
      <c r="G75" s="15"/>
      <c r="H75" s="15"/>
      <c r="I75" s="15"/>
      <c r="J75" s="15"/>
      <c r="K75" s="15"/>
      <c r="L75" s="15"/>
      <c r="M75" s="15"/>
      <c r="N75" s="15"/>
      <c r="O75" s="15"/>
      <c r="P75" s="15"/>
      <c r="Q75" s="15"/>
      <c r="R75" s="15"/>
      <c r="S75" s="15"/>
      <c r="T75" s="15"/>
      <c r="U75" s="15"/>
      <c r="V75" s="15"/>
    </row>
    <row r="76" spans="2:22" s="2" customFormat="1" ht="13.05" customHeight="1" x14ac:dyDescent="0.15">
      <c r="B76" s="10"/>
      <c r="C76" s="10"/>
    </row>
    <row r="77" spans="2:22" s="2" customFormat="1" ht="13.05" customHeight="1" x14ac:dyDescent="0.2"/>
    <row r="78" spans="2:22" s="2" customFormat="1" ht="13.05" customHeight="1" x14ac:dyDescent="0.2"/>
    <row r="79" spans="2:22" s="2" customFormat="1" ht="13.05" customHeight="1" x14ac:dyDescent="0.2"/>
    <row r="80" spans="2:22" s="2" customFormat="1" ht="13.05" customHeight="1" x14ac:dyDescent="0.2"/>
    <row r="81" s="2" customFormat="1" ht="13.05" customHeight="1" x14ac:dyDescent="0.2"/>
    <row r="82" s="2" customFormat="1" ht="13.05" customHeight="1" x14ac:dyDescent="0.2"/>
    <row r="83" s="2" customFormat="1" ht="13.05" customHeight="1" x14ac:dyDescent="0.2"/>
    <row r="84" ht="13.05" customHeight="1" x14ac:dyDescent="0.2"/>
    <row r="85" ht="13.05" customHeight="1" x14ac:dyDescent="0.2"/>
    <row r="86" ht="13.05" customHeight="1" x14ac:dyDescent="0.2"/>
    <row r="87" ht="13.05" customHeight="1" x14ac:dyDescent="0.2"/>
    <row r="88" ht="13.05" customHeight="1" x14ac:dyDescent="0.2"/>
    <row r="89" ht="13.05" customHeight="1" x14ac:dyDescent="0.2"/>
    <row r="90" ht="13.05" customHeight="1" x14ac:dyDescent="0.2"/>
    <row r="91" ht="13.05" customHeight="1" x14ac:dyDescent="0.2"/>
    <row r="92" ht="13.05" customHeight="1" x14ac:dyDescent="0.2"/>
    <row r="93" ht="13.05" customHeight="1" x14ac:dyDescent="0.2"/>
  </sheetData>
  <mergeCells count="271">
    <mergeCell ref="C73:R73"/>
    <mergeCell ref="T73:U73"/>
    <mergeCell ref="C74:R74"/>
    <mergeCell ref="T74:U74"/>
    <mergeCell ref="C70:R70"/>
    <mergeCell ref="T70:U70"/>
    <mergeCell ref="C71:R71"/>
    <mergeCell ref="T71:U71"/>
    <mergeCell ref="C72:R72"/>
    <mergeCell ref="T72:U72"/>
    <mergeCell ref="C68:R68"/>
    <mergeCell ref="T68:U68"/>
    <mergeCell ref="J3:M4"/>
    <mergeCell ref="D3:I4"/>
    <mergeCell ref="C69:R69"/>
    <mergeCell ref="T69:U69"/>
    <mergeCell ref="T52:U52"/>
    <mergeCell ref="H53:I53"/>
    <mergeCell ref="K53:L53"/>
    <mergeCell ref="C67:R67"/>
    <mergeCell ref="E58:V59"/>
    <mergeCell ref="S67:V67"/>
    <mergeCell ref="R49:S49"/>
    <mergeCell ref="T49:U49"/>
    <mergeCell ref="B50:V50"/>
    <mergeCell ref="B51:D51"/>
    <mergeCell ref="B52:D52"/>
    <mergeCell ref="E52:F52"/>
    <mergeCell ref="H52:I52"/>
    <mergeCell ref="K52:L52"/>
    <mergeCell ref="Q52:R52"/>
    <mergeCell ref="N52:O52"/>
    <mergeCell ref="R47:S47"/>
    <mergeCell ref="T47:U47"/>
    <mergeCell ref="C49:D49"/>
    <mergeCell ref="E49:F49"/>
    <mergeCell ref="H49:I49"/>
    <mergeCell ref="J49:K49"/>
    <mergeCell ref="M49:N49"/>
    <mergeCell ref="O49:P49"/>
    <mergeCell ref="C48:D48"/>
    <mergeCell ref="T41:U41"/>
    <mergeCell ref="J42:K42"/>
    <mergeCell ref="P42:S42"/>
    <mergeCell ref="T42:U42"/>
    <mergeCell ref="J43:K43"/>
    <mergeCell ref="C46:D46"/>
    <mergeCell ref="E48:F48"/>
    <mergeCell ref="H48:I48"/>
    <mergeCell ref="J48:K48"/>
    <mergeCell ref="M48:N48"/>
    <mergeCell ref="O48:P48"/>
    <mergeCell ref="E46:F46"/>
    <mergeCell ref="C47:D47"/>
    <mergeCell ref="E47:F47"/>
    <mergeCell ref="H47:I47"/>
    <mergeCell ref="H46:I46"/>
    <mergeCell ref="J46:K46"/>
    <mergeCell ref="M46:N46"/>
    <mergeCell ref="R48:S48"/>
    <mergeCell ref="T48:U48"/>
    <mergeCell ref="E41:F41"/>
    <mergeCell ref="J41:K41"/>
    <mergeCell ref="O38:P38"/>
    <mergeCell ref="T38:U38"/>
    <mergeCell ref="E61:V61"/>
    <mergeCell ref="J38:K38"/>
    <mergeCell ref="R46:S46"/>
    <mergeCell ref="E62:V62"/>
    <mergeCell ref="N55:V55"/>
    <mergeCell ref="N56:V56"/>
    <mergeCell ref="E57:G57"/>
    <mergeCell ref="E39:F39"/>
    <mergeCell ref="T43:U43"/>
    <mergeCell ref="T46:U46"/>
    <mergeCell ref="T39:U39"/>
    <mergeCell ref="H57:I57"/>
    <mergeCell ref="K57:L57"/>
    <mergeCell ref="E40:F40"/>
    <mergeCell ref="J40:K40"/>
    <mergeCell ref="O40:P40"/>
    <mergeCell ref="T40:U40"/>
    <mergeCell ref="J47:K47"/>
    <mergeCell ref="M47:N47"/>
    <mergeCell ref="O47:P47"/>
    <mergeCell ref="O46:P46"/>
    <mergeCell ref="O41:P41"/>
    <mergeCell ref="J39:K39"/>
    <mergeCell ref="O39:P39"/>
    <mergeCell ref="M39:N39"/>
    <mergeCell ref="M40:N40"/>
    <mergeCell ref="M41:N41"/>
    <mergeCell ref="R36:S36"/>
    <mergeCell ref="T36:U36"/>
    <mergeCell ref="O35:P35"/>
    <mergeCell ref="J36:K36"/>
    <mergeCell ref="M36:N36"/>
    <mergeCell ref="C37:D37"/>
    <mergeCell ref="J37:K37"/>
    <mergeCell ref="M37:N37"/>
    <mergeCell ref="T37:U37"/>
    <mergeCell ref="C36:D36"/>
    <mergeCell ref="E36:F36"/>
    <mergeCell ref="H36:I36"/>
    <mergeCell ref="O36:P36"/>
    <mergeCell ref="O31:V31"/>
    <mergeCell ref="C32:D33"/>
    <mergeCell ref="E32:L32"/>
    <mergeCell ref="M32:N33"/>
    <mergeCell ref="O32:V32"/>
    <mergeCell ref="E33:L33"/>
    <mergeCell ref="O33:V33"/>
    <mergeCell ref="C35:D35"/>
    <mergeCell ref="E35:F35"/>
    <mergeCell ref="H35:I35"/>
    <mergeCell ref="J35:K35"/>
    <mergeCell ref="M35:N35"/>
    <mergeCell ref="M31:N31"/>
    <mergeCell ref="R34:S34"/>
    <mergeCell ref="E34:F34"/>
    <mergeCell ref="H34:I34"/>
    <mergeCell ref="J34:K34"/>
    <mergeCell ref="M34:N34"/>
    <mergeCell ref="O34:P34"/>
    <mergeCell ref="T34:U34"/>
    <mergeCell ref="R35:S35"/>
    <mergeCell ref="T35:U35"/>
    <mergeCell ref="T27:T28"/>
    <mergeCell ref="U27:U28"/>
    <mergeCell ref="V27:V28"/>
    <mergeCell ref="D25:E25"/>
    <mergeCell ref="G25:H25"/>
    <mergeCell ref="I25:I26"/>
    <mergeCell ref="J25:J26"/>
    <mergeCell ref="K25:K26"/>
    <mergeCell ref="L25:L26"/>
    <mergeCell ref="N25:O25"/>
    <mergeCell ref="Q25:R25"/>
    <mergeCell ref="S25:S26"/>
    <mergeCell ref="D27:E27"/>
    <mergeCell ref="G27:H27"/>
    <mergeCell ref="I27:I28"/>
    <mergeCell ref="J27:J28"/>
    <mergeCell ref="K27:K28"/>
    <mergeCell ref="L27:L28"/>
    <mergeCell ref="N27:O27"/>
    <mergeCell ref="Q27:R27"/>
    <mergeCell ref="S27:S28"/>
    <mergeCell ref="C24:H24"/>
    <mergeCell ref="I24:J24"/>
    <mergeCell ref="K24:L24"/>
    <mergeCell ref="M24:R24"/>
    <mergeCell ref="S24:T24"/>
    <mergeCell ref="U24:V24"/>
    <mergeCell ref="C16:V16"/>
    <mergeCell ref="C17:V22"/>
    <mergeCell ref="T25:T26"/>
    <mergeCell ref="U25:U26"/>
    <mergeCell ref="V25:V26"/>
    <mergeCell ref="C14:D14"/>
    <mergeCell ref="E14:F14"/>
    <mergeCell ref="J14:L14"/>
    <mergeCell ref="M14:N14"/>
    <mergeCell ref="O14:P14"/>
    <mergeCell ref="T14:V14"/>
    <mergeCell ref="C15:D15"/>
    <mergeCell ref="E15:I15"/>
    <mergeCell ref="J15:L15"/>
    <mergeCell ref="M15:N15"/>
    <mergeCell ref="O15:S15"/>
    <mergeCell ref="T15:V15"/>
    <mergeCell ref="S12:T12"/>
    <mergeCell ref="M11:N11"/>
    <mergeCell ref="O11:V11"/>
    <mergeCell ref="C13:D13"/>
    <mergeCell ref="E13:F13"/>
    <mergeCell ref="M13:N13"/>
    <mergeCell ref="O13:P13"/>
    <mergeCell ref="C12:D12"/>
    <mergeCell ref="E12:F12"/>
    <mergeCell ref="G12:H12"/>
    <mergeCell ref="I12:J12"/>
    <mergeCell ref="M12:N12"/>
    <mergeCell ref="O12:P12"/>
    <mergeCell ref="I7:M8"/>
    <mergeCell ref="O7:P7"/>
    <mergeCell ref="Q7:V7"/>
    <mergeCell ref="O8:P8"/>
    <mergeCell ref="N3:N8"/>
    <mergeCell ref="O3:P3"/>
    <mergeCell ref="Q3:T3"/>
    <mergeCell ref="B9:C9"/>
    <mergeCell ref="D9:V9"/>
    <mergeCell ref="B5:C6"/>
    <mergeCell ref="D5:M6"/>
    <mergeCell ref="Q8:R8"/>
    <mergeCell ref="T8:V8"/>
    <mergeCell ref="O6:P6"/>
    <mergeCell ref="Q6:V6"/>
    <mergeCell ref="B7:C8"/>
    <mergeCell ref="D7:F8"/>
    <mergeCell ref="G7:H8"/>
    <mergeCell ref="B1:V1"/>
    <mergeCell ref="B2:C2"/>
    <mergeCell ref="E2:M2"/>
    <mergeCell ref="N2:Q2"/>
    <mergeCell ref="R2:S2"/>
    <mergeCell ref="T2:U2"/>
    <mergeCell ref="B3:C4"/>
    <mergeCell ref="U3:V3"/>
    <mergeCell ref="O4:P5"/>
    <mergeCell ref="Q4:V4"/>
    <mergeCell ref="Q5:V5"/>
    <mergeCell ref="B66:D66"/>
    <mergeCell ref="E65:V65"/>
    <mergeCell ref="E66:V66"/>
    <mergeCell ref="P63:V63"/>
    <mergeCell ref="G63:K63"/>
    <mergeCell ref="L63:O63"/>
    <mergeCell ref="M64:V64"/>
    <mergeCell ref="E64:L64"/>
    <mergeCell ref="B65:D65"/>
    <mergeCell ref="E63:F63"/>
    <mergeCell ref="H54:I54"/>
    <mergeCell ref="E38:F38"/>
    <mergeCell ref="C31:D31"/>
    <mergeCell ref="E31:L31"/>
    <mergeCell ref="C34:D34"/>
    <mergeCell ref="K54:L54"/>
    <mergeCell ref="B45:V45"/>
    <mergeCell ref="B46:B49"/>
    <mergeCell ref="Q29:R29"/>
    <mergeCell ref="S29:S30"/>
    <mergeCell ref="T29:T30"/>
    <mergeCell ref="N53:V53"/>
    <mergeCell ref="J29:J30"/>
    <mergeCell ref="K29:K30"/>
    <mergeCell ref="L29:L30"/>
    <mergeCell ref="N29:O29"/>
    <mergeCell ref="G29:H29"/>
    <mergeCell ref="E53:G53"/>
    <mergeCell ref="S44:U44"/>
    <mergeCell ref="I29:I30"/>
    <mergeCell ref="B11:B44"/>
    <mergeCell ref="C11:D11"/>
    <mergeCell ref="E11:L11"/>
    <mergeCell ref="Q12:R12"/>
    <mergeCell ref="B61:D61"/>
    <mergeCell ref="C43:D43"/>
    <mergeCell ref="M43:N43"/>
    <mergeCell ref="N54:V54"/>
    <mergeCell ref="I44:K44"/>
    <mergeCell ref="E43:F43"/>
    <mergeCell ref="U29:U30"/>
    <mergeCell ref="V29:V30"/>
    <mergeCell ref="D29:E29"/>
    <mergeCell ref="B58:D59"/>
    <mergeCell ref="E60:V60"/>
    <mergeCell ref="H55:I55"/>
    <mergeCell ref="K55:L55"/>
    <mergeCell ref="H56:I56"/>
    <mergeCell ref="K56:L56"/>
    <mergeCell ref="E56:G56"/>
    <mergeCell ref="C38:D38"/>
    <mergeCell ref="C39:D39"/>
    <mergeCell ref="C40:D40"/>
    <mergeCell ref="C41:D41"/>
    <mergeCell ref="M38:N38"/>
    <mergeCell ref="B53:D56"/>
    <mergeCell ref="E54:G54"/>
    <mergeCell ref="E55:G55"/>
  </mergeCells>
  <phoneticPr fontId="1"/>
  <printOptions horizontalCentered="1" verticalCentered="1"/>
  <pageMargins left="0.39370078740157483" right="0.23622047244094491" top="0.35433070866141736" bottom="0.23622047244094491" header="0.31496062992125984" footer="0.15748031496062992"/>
  <pageSetup paperSize="9" scale="95" orientation="portrait" r:id="rId1"/>
  <headerFooter alignWithMargins="0">
    <oddFooter>&amp;C&amp;6&amp;F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富双合成</vt:lpstr>
      <vt:lpstr>富双合成!Print_Area</vt:lpstr>
    </vt:vector>
  </TitlesOfParts>
  <Company>TIEUP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たいあっぷ</dc:creator>
  <cp:lastModifiedBy>ざくろ はつき</cp:lastModifiedBy>
  <cp:lastPrinted>2026-08-18T01:30:20Z</cp:lastPrinted>
  <dcterms:created xsi:type="dcterms:W3CDTF">2002-05-01T05:40:43Z</dcterms:created>
  <dcterms:modified xsi:type="dcterms:W3CDTF">2026-09-28T05:31:45Z</dcterms:modified>
</cp:coreProperties>
</file>