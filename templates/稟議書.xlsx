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segawa tomohisa\OneDrive\デスクトップ\"/>
    </mc:Choice>
  </mc:AlternateContent>
  <xr:revisionPtr revIDLastSave="0" documentId="8_{05A5D4AF-B3F8-439F-9CBD-10753920BE80}" xr6:coauthVersionLast="47" xr6:coauthVersionMax="47" xr10:uidLastSave="{00000000-0000-0000-0000-000000000000}"/>
  <workbookProtection workbookAlgorithmName="SHA-512" workbookHashValue="tK4J485Ta2aCi83q2jmd0v3Xh/wDRTjdz0DKCZiQb5brDK/PjoxF9XDKXe6OfVtRxDD+0jOtxAcir7TxzfVvPQ==" workbookSaltValue="ghMXMAwsyRPFOGf5FNwZVw==" workbookSpinCount="100000" lockStructure="1"/>
  <bookViews>
    <workbookView xWindow="28680" yWindow="-120" windowWidth="29040" windowHeight="15720" xr2:uid="{A80405E2-62D0-4185-8F58-F07D0EC63EC4}"/>
  </bookViews>
  <sheets>
    <sheet name="契約稟議2026" sheetId="1" r:id="rId1"/>
    <sheet name="職業統計" sheetId="3" r:id="rId2"/>
    <sheet name="別添３（都道府県別）" sheetId="5" r:id="rId3"/>
    <sheet name="リスト" sheetId="2" r:id="rId4"/>
  </sheets>
  <definedNames>
    <definedName name="_xlnm.Print_Area" localSheetId="1">職業統計!$A$1:$K$441</definedName>
    <definedName name="_xlnm.Print_Area" localSheetId="2">'別添３（都道府県別）'!$A$1:$F$487</definedName>
    <definedName name="_xlnm.Print_Titles" localSheetId="1">職業統計!#REF!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4" i="1" l="1"/>
  <c r="P35" i="1"/>
  <c r="P36" i="1"/>
  <c r="M34" i="1"/>
  <c r="M35" i="1"/>
  <c r="M36" i="1"/>
  <c r="F34" i="1"/>
  <c r="F35" i="1"/>
  <c r="F36" i="1"/>
  <c r="P33" i="1"/>
  <c r="F33" i="1"/>
  <c r="M33" i="1"/>
  <c r="H29" i="1"/>
  <c r="H30" i="1"/>
  <c r="H28" i="1"/>
  <c r="H27" i="1"/>
  <c r="K18" i="1"/>
  <c r="R35" i="1" l="1"/>
  <c r="U35" i="1" s="1"/>
  <c r="R36" i="1"/>
  <c r="U36" i="1" s="1"/>
  <c r="R34" i="1"/>
  <c r="U34" i="1" s="1"/>
  <c r="R33" i="1"/>
  <c r="U33" i="1" s="1"/>
</calcChain>
</file>

<file path=xl/sharedStrings.xml><?xml version="1.0" encoding="utf-8"?>
<sst xmlns="http://schemas.openxmlformats.org/spreadsheetml/2006/main" count="1646" uniqueCount="1096">
  <si>
    <t>契  約  稟  議  書</t>
    <rPh sb="0" eb="1">
      <t>チギリ</t>
    </rPh>
    <rPh sb="3" eb="4">
      <t>ヤク</t>
    </rPh>
    <rPh sb="6" eb="7">
      <t>ヒン</t>
    </rPh>
    <rPh sb="9" eb="10">
      <t>ギ</t>
    </rPh>
    <rPh sb="12" eb="13">
      <t>ショ</t>
    </rPh>
    <phoneticPr fontId="5"/>
  </si>
  <si>
    <t>取引状況</t>
    <rPh sb="0" eb="2">
      <t>トリヒキ</t>
    </rPh>
    <rPh sb="2" eb="4">
      <t>ジョウキョウ</t>
    </rPh>
    <phoneticPr fontId="5"/>
  </si>
  <si>
    <t>無</t>
  </si>
  <si>
    <t>稟議№</t>
    <rPh sb="0" eb="3">
      <t>リンギナンバー</t>
    </rPh>
    <phoneticPr fontId="5"/>
  </si>
  <si>
    <t>-</t>
    <phoneticPr fontId="5"/>
  </si>
  <si>
    <t>稟議種別</t>
    <rPh sb="0" eb="2">
      <t>リンギ</t>
    </rPh>
    <rPh sb="2" eb="4">
      <t>シュベツ</t>
    </rPh>
    <phoneticPr fontId="5"/>
  </si>
  <si>
    <t>決裁日</t>
    <rPh sb="0" eb="2">
      <t>ケッサイ</t>
    </rPh>
    <rPh sb="2" eb="3">
      <t>ビ</t>
    </rPh>
    <phoneticPr fontId="5"/>
  </si>
  <si>
    <t>決済希望スピード</t>
    <rPh sb="0" eb="2">
      <t>ケッサイ</t>
    </rPh>
    <rPh sb="2" eb="4">
      <t>キボウ</t>
    </rPh>
    <phoneticPr fontId="5"/>
  </si>
  <si>
    <t>飛行機</t>
  </si>
  <si>
    <t>年</t>
    <rPh sb="0" eb="1">
      <t>ネン</t>
    </rPh>
    <phoneticPr fontId="5"/>
  </si>
  <si>
    <t>月</t>
    <rPh sb="0" eb="1">
      <t>ツキ</t>
    </rPh>
    <phoneticPr fontId="5"/>
  </si>
  <si>
    <t>日</t>
    <rPh sb="0" eb="1">
      <t>ニチ</t>
    </rPh>
    <phoneticPr fontId="5"/>
  </si>
  <si>
    <t>契約の種別</t>
    <rPh sb="0" eb="2">
      <t>ケイヤク</t>
    </rPh>
    <rPh sb="3" eb="5">
      <t>シュベツ</t>
    </rPh>
    <phoneticPr fontId="5"/>
  </si>
  <si>
    <t>人材派遣</t>
  </si>
  <si>
    <t>企業名</t>
    <rPh sb="0" eb="2">
      <t>キギョウ</t>
    </rPh>
    <rPh sb="2" eb="3">
      <t>メイ</t>
    </rPh>
    <phoneticPr fontId="5"/>
  </si>
  <si>
    <t>営業所</t>
    <rPh sb="0" eb="3">
      <t>エイギョウショ</t>
    </rPh>
    <phoneticPr fontId="5"/>
  </si>
  <si>
    <t>■企業情報</t>
    <rPh sb="1" eb="3">
      <t>キギョウ</t>
    </rPh>
    <rPh sb="3" eb="5">
      <t>ジョウホウ</t>
    </rPh>
    <phoneticPr fontId="5"/>
  </si>
  <si>
    <t>企 業 名</t>
    <rPh sb="0" eb="1">
      <t>クワダ</t>
    </rPh>
    <rPh sb="2" eb="3">
      <t>ギョウ</t>
    </rPh>
    <rPh sb="4" eb="5">
      <t>メイ</t>
    </rPh>
    <phoneticPr fontId="5"/>
  </si>
  <si>
    <t>工場名</t>
    <rPh sb="0" eb="2">
      <t>コウジョウ</t>
    </rPh>
    <rPh sb="2" eb="3">
      <t>メイ</t>
    </rPh>
    <phoneticPr fontId="5"/>
  </si>
  <si>
    <t>住　 　所</t>
    <rPh sb="0" eb="1">
      <t>ジュウ</t>
    </rPh>
    <rPh sb="4" eb="5">
      <t>トコロ</t>
    </rPh>
    <phoneticPr fontId="5"/>
  </si>
  <si>
    <t>〒</t>
    <phoneticPr fontId="5"/>
  </si>
  <si>
    <t>電話番号</t>
    <rPh sb="0" eb="2">
      <t>デンワ</t>
    </rPh>
    <rPh sb="2" eb="4">
      <t>バンゴウ</t>
    </rPh>
    <phoneticPr fontId="5"/>
  </si>
  <si>
    <t>FAX</t>
    <phoneticPr fontId="5"/>
  </si>
  <si>
    <t>窓口担当者⇒</t>
    <rPh sb="0" eb="2">
      <t>マドグチ</t>
    </rPh>
    <rPh sb="2" eb="5">
      <t>タントウシャ</t>
    </rPh>
    <phoneticPr fontId="5"/>
  </si>
  <si>
    <t>部署名</t>
    <rPh sb="0" eb="2">
      <t>ブショ</t>
    </rPh>
    <rPh sb="2" eb="3">
      <t>メイ</t>
    </rPh>
    <phoneticPr fontId="5"/>
  </si>
  <si>
    <t>役職</t>
    <rPh sb="0" eb="2">
      <t>ヤクショク</t>
    </rPh>
    <phoneticPr fontId="5"/>
  </si>
  <si>
    <t>名前</t>
    <rPh sb="0" eb="2">
      <t>ナマエ</t>
    </rPh>
    <phoneticPr fontId="5"/>
  </si>
  <si>
    <t>資本金</t>
    <rPh sb="0" eb="3">
      <t>シホンキン</t>
    </rPh>
    <phoneticPr fontId="5"/>
  </si>
  <si>
    <t>千万円</t>
    <rPh sb="0" eb="2">
      <t>センマン</t>
    </rPh>
    <rPh sb="2" eb="3">
      <t>エン</t>
    </rPh>
    <phoneticPr fontId="5"/>
  </si>
  <si>
    <t>区分</t>
    <rPh sb="0" eb="2">
      <t>クブン</t>
    </rPh>
    <phoneticPr fontId="5"/>
  </si>
  <si>
    <t>創業・設立</t>
    <rPh sb="0" eb="2">
      <t>ソウギョウ</t>
    </rPh>
    <rPh sb="3" eb="5">
      <t>セツリツ</t>
    </rPh>
    <phoneticPr fontId="5"/>
  </si>
  <si>
    <t>業種</t>
    <rPh sb="0" eb="2">
      <t>ギョウシュ</t>
    </rPh>
    <phoneticPr fontId="5"/>
  </si>
  <si>
    <t>化学工業</t>
  </si>
  <si>
    <t>生産品目</t>
    <rPh sb="0" eb="2">
      <t>セイサン</t>
    </rPh>
    <rPh sb="2" eb="4">
      <t>ヒンモク</t>
    </rPh>
    <phoneticPr fontId="5"/>
  </si>
  <si>
    <t>　　</t>
    <phoneticPr fontId="5"/>
  </si>
  <si>
    <t>■契約内容</t>
    <rPh sb="1" eb="3">
      <t>ケイヤク</t>
    </rPh>
    <rPh sb="3" eb="5">
      <t>ナイヨウ</t>
    </rPh>
    <phoneticPr fontId="5"/>
  </si>
  <si>
    <t>契約部署</t>
    <rPh sb="0" eb="2">
      <t>ケイヤク</t>
    </rPh>
    <rPh sb="2" eb="4">
      <t>ブショ</t>
    </rPh>
    <phoneticPr fontId="5"/>
  </si>
  <si>
    <t>作業内容</t>
    <rPh sb="0" eb="2">
      <t>サギョウ</t>
    </rPh>
    <rPh sb="2" eb="4">
      <t>ナイヨウ</t>
    </rPh>
    <phoneticPr fontId="5"/>
  </si>
  <si>
    <t>必要資格</t>
    <rPh sb="0" eb="2">
      <t>ヒツヨウ</t>
    </rPh>
    <rPh sb="2" eb="4">
      <t>シカク</t>
    </rPh>
    <phoneticPr fontId="5"/>
  </si>
  <si>
    <t>契約（予定）日</t>
    <rPh sb="0" eb="2">
      <t>ケイヤク</t>
    </rPh>
    <rPh sb="3" eb="5">
      <t>ヨテイ</t>
    </rPh>
    <rPh sb="6" eb="7">
      <t>ヒ</t>
    </rPh>
    <phoneticPr fontId="5"/>
  </si>
  <si>
    <t>契約期間（自）</t>
    <rPh sb="0" eb="2">
      <t>ケイヤク</t>
    </rPh>
    <rPh sb="2" eb="4">
      <t>キカン</t>
    </rPh>
    <rPh sb="5" eb="6">
      <t>ジ</t>
    </rPh>
    <phoneticPr fontId="5"/>
  </si>
  <si>
    <t>契約期間（至）</t>
    <rPh sb="0" eb="2">
      <t>ケイヤク</t>
    </rPh>
    <rPh sb="2" eb="4">
      <t>キカン</t>
    </rPh>
    <rPh sb="5" eb="6">
      <t>イタ</t>
    </rPh>
    <phoneticPr fontId="5"/>
  </si>
  <si>
    <t>契約更新ヶ月</t>
    <rPh sb="0" eb="2">
      <t>ケイヤク</t>
    </rPh>
    <rPh sb="2" eb="4">
      <t>コウシン</t>
    </rPh>
    <rPh sb="5" eb="6">
      <t>ゲツ</t>
    </rPh>
    <phoneticPr fontId="5"/>
  </si>
  <si>
    <t>欠員・契約人数・工数</t>
    <rPh sb="0" eb="2">
      <t>ケツイン</t>
    </rPh>
    <rPh sb="3" eb="5">
      <t>ケイヤク</t>
    </rPh>
    <rPh sb="5" eb="7">
      <t>ニンズウ</t>
    </rPh>
    <rPh sb="8" eb="10">
      <t>コウスウ</t>
    </rPh>
    <phoneticPr fontId="5"/>
  </si>
  <si>
    <t>男性</t>
    <rPh sb="0" eb="2">
      <t>ダンセイ</t>
    </rPh>
    <phoneticPr fontId="5"/>
  </si>
  <si>
    <t>女性</t>
    <rPh sb="0" eb="2">
      <t>ジョセイ</t>
    </rPh>
    <phoneticPr fontId="5"/>
  </si>
  <si>
    <t>合計</t>
    <rPh sb="0" eb="2">
      <t>ゴウケイ</t>
    </rPh>
    <phoneticPr fontId="5"/>
  </si>
  <si>
    <t>入金サイト</t>
    <rPh sb="0" eb="2">
      <t>ニュウキン</t>
    </rPh>
    <phoneticPr fontId="5"/>
  </si>
  <si>
    <t>締日</t>
    <rPh sb="0" eb="2">
      <t>シメビ</t>
    </rPh>
    <phoneticPr fontId="5"/>
  </si>
  <si>
    <t>入金日</t>
    <rPh sb="0" eb="2">
      <t>ニュウキン</t>
    </rPh>
    <rPh sb="2" eb="3">
      <t>ビ</t>
    </rPh>
    <phoneticPr fontId="5"/>
  </si>
  <si>
    <t>請求必着日</t>
    <rPh sb="0" eb="2">
      <t>セイキュウ</t>
    </rPh>
    <rPh sb="2" eb="4">
      <t>ヒッチャク</t>
    </rPh>
    <rPh sb="4" eb="5">
      <t>ビ</t>
    </rPh>
    <phoneticPr fontId="5"/>
  </si>
  <si>
    <t>勤務内容</t>
    <rPh sb="0" eb="2">
      <t>キンム</t>
    </rPh>
    <rPh sb="2" eb="4">
      <t>ナイヨウ</t>
    </rPh>
    <phoneticPr fontId="5"/>
  </si>
  <si>
    <t>勤務時間</t>
    <rPh sb="0" eb="2">
      <t>キンム</t>
    </rPh>
    <rPh sb="2" eb="4">
      <t>ジカン</t>
    </rPh>
    <phoneticPr fontId="5"/>
  </si>
  <si>
    <t>平均稼動日数</t>
    <rPh sb="0" eb="2">
      <t>ヘイキン</t>
    </rPh>
    <rPh sb="2" eb="4">
      <t>カドウ</t>
    </rPh>
    <rPh sb="4" eb="6">
      <t>ニッスウ</t>
    </rPh>
    <phoneticPr fontId="5"/>
  </si>
  <si>
    <t>勤務形態</t>
    <rPh sb="0" eb="2">
      <t>キンム</t>
    </rPh>
    <rPh sb="2" eb="4">
      <t>ケイタイ</t>
    </rPh>
    <phoneticPr fontId="5"/>
  </si>
  <si>
    <t>①</t>
    <phoneticPr fontId="5"/>
  </si>
  <si>
    <t>～</t>
    <phoneticPr fontId="5"/>
  </si>
  <si>
    <t>M</t>
    <phoneticPr fontId="5"/>
  </si>
  <si>
    <t>H</t>
    <phoneticPr fontId="5"/>
  </si>
  <si>
    <t>H超</t>
    <rPh sb="1" eb="2">
      <t>チョウ</t>
    </rPh>
    <phoneticPr fontId="5"/>
  </si>
  <si>
    <t>②</t>
    <phoneticPr fontId="5"/>
  </si>
  <si>
    <t>③</t>
    <phoneticPr fontId="5"/>
  </si>
  <si>
    <t>④</t>
    <phoneticPr fontId="5"/>
  </si>
  <si>
    <t>休日</t>
    <rPh sb="0" eb="2">
      <t>キュウジツ</t>
    </rPh>
    <phoneticPr fontId="5"/>
  </si>
  <si>
    <t>給与支給</t>
    <rPh sb="0" eb="2">
      <t>キュウヨ</t>
    </rPh>
    <rPh sb="2" eb="4">
      <t>シキュウ</t>
    </rPh>
    <phoneticPr fontId="5"/>
  </si>
  <si>
    <t>支払日</t>
    <rPh sb="0" eb="3">
      <t>シハライビ</t>
    </rPh>
    <phoneticPr fontId="5"/>
  </si>
  <si>
    <t>主な作業内容</t>
    <rPh sb="0" eb="1">
      <t>オモ</t>
    </rPh>
    <rPh sb="2" eb="4">
      <t>サギョウ</t>
    </rPh>
    <rPh sb="4" eb="6">
      <t>ナイヨウ</t>
    </rPh>
    <phoneticPr fontId="5"/>
  </si>
  <si>
    <t>請単価</t>
    <rPh sb="0" eb="1">
      <t>ウ</t>
    </rPh>
    <rPh sb="1" eb="3">
      <t>タンカ</t>
    </rPh>
    <phoneticPr fontId="5"/>
  </si>
  <si>
    <t>支払単価</t>
    <rPh sb="0" eb="2">
      <t>シハライ</t>
    </rPh>
    <rPh sb="2" eb="4">
      <t>タンカ</t>
    </rPh>
    <phoneticPr fontId="5"/>
  </si>
  <si>
    <t>手当②：名称</t>
    <rPh sb="0" eb="2">
      <t>テアテ</t>
    </rPh>
    <rPh sb="4" eb="6">
      <t>メイショウ</t>
    </rPh>
    <phoneticPr fontId="5"/>
  </si>
  <si>
    <t>交通費（上限）</t>
    <rPh sb="0" eb="3">
      <t>コウツウヒ</t>
    </rPh>
    <rPh sb="4" eb="6">
      <t>ジョウゲン</t>
    </rPh>
    <phoneticPr fontId="5"/>
  </si>
  <si>
    <t>割増</t>
    <rPh sb="0" eb="2">
      <t>ワリマシ</t>
    </rPh>
    <phoneticPr fontId="5"/>
  </si>
  <si>
    <t>時間外</t>
    <rPh sb="0" eb="3">
      <t>ジカンガイ</t>
    </rPh>
    <phoneticPr fontId="5"/>
  </si>
  <si>
    <t>法定外休出</t>
    <rPh sb="0" eb="3">
      <t>ホウテイガイ</t>
    </rPh>
    <rPh sb="3" eb="5">
      <t>キュウシュツ</t>
    </rPh>
    <phoneticPr fontId="5"/>
  </si>
  <si>
    <t>時間外６０H超</t>
    <rPh sb="0" eb="3">
      <t>ジカンガイ</t>
    </rPh>
    <rPh sb="6" eb="7">
      <t>チョウ</t>
    </rPh>
    <phoneticPr fontId="5"/>
  </si>
  <si>
    <t>■現況及び起案者所見</t>
    <rPh sb="1" eb="3">
      <t>ゲンキョウ</t>
    </rPh>
    <rPh sb="3" eb="4">
      <t>オヨ</t>
    </rPh>
    <rPh sb="5" eb="8">
      <t>キアンシャ</t>
    </rPh>
    <rPh sb="8" eb="10">
      <t>ショケン</t>
    </rPh>
    <phoneticPr fontId="5"/>
  </si>
  <si>
    <t>■備考</t>
    <rPh sb="1" eb="3">
      <t>ビコウ</t>
    </rPh>
    <phoneticPr fontId="5"/>
  </si>
  <si>
    <t>■所長コメント</t>
    <rPh sb="1" eb="3">
      <t>ショチョウ</t>
    </rPh>
    <phoneticPr fontId="5"/>
  </si>
  <si>
    <t>■管理本部コメント</t>
    <rPh sb="1" eb="3">
      <t>カンリ</t>
    </rPh>
    <rPh sb="3" eb="5">
      <t>ホンブ</t>
    </rPh>
    <phoneticPr fontId="5"/>
  </si>
  <si>
    <t>経理所見</t>
    <rPh sb="0" eb="2">
      <t>ケイリ</t>
    </rPh>
    <rPh sb="2" eb="4">
      <t>ショケン</t>
    </rPh>
    <phoneticPr fontId="5"/>
  </si>
  <si>
    <t>決済ナンバー</t>
    <rPh sb="0" eb="2">
      <t>ケッサイ</t>
    </rPh>
    <phoneticPr fontId="5"/>
  </si>
  <si>
    <t>決済</t>
    <rPh sb="0" eb="2">
      <t>ケッサイ</t>
    </rPh>
    <phoneticPr fontId="5"/>
  </si>
  <si>
    <t>経理</t>
    <rPh sb="0" eb="2">
      <t>ケイリ</t>
    </rPh>
    <phoneticPr fontId="5"/>
  </si>
  <si>
    <t>管理本部</t>
    <rPh sb="0" eb="2">
      <t>カンリ</t>
    </rPh>
    <rPh sb="2" eb="4">
      <t>ホンブ</t>
    </rPh>
    <phoneticPr fontId="5"/>
  </si>
  <si>
    <t>所　長</t>
    <rPh sb="0" eb="1">
      <t>ショ</t>
    </rPh>
    <rPh sb="2" eb="3">
      <t>チョウ</t>
    </rPh>
    <phoneticPr fontId="5"/>
  </si>
  <si>
    <t>藤井</t>
    <rPh sb="0" eb="2">
      <t>フジイ</t>
    </rPh>
    <phoneticPr fontId="5"/>
  </si>
  <si>
    <t>食料品製造業</t>
  </si>
  <si>
    <t>飲料・たばこ・飼料製造業</t>
  </si>
  <si>
    <t>繊維工業</t>
  </si>
  <si>
    <t>木材・木製品製造業（家具を除く）</t>
  </si>
  <si>
    <t>家具・装備品製造業</t>
  </si>
  <si>
    <t>パルプ・紙・紙加工品製造業</t>
  </si>
  <si>
    <t>印刷・同関連業</t>
  </si>
  <si>
    <t>石油製品・石炭製品製造業</t>
  </si>
  <si>
    <t>プラスチック製品製造業（別掲を除く）</t>
  </si>
  <si>
    <t>ゴム製品製造業</t>
  </si>
  <si>
    <t>なめし革・同製品・毛皮製造業</t>
  </si>
  <si>
    <t>窯業・土石製品製造業</t>
  </si>
  <si>
    <t>鉄鋼業</t>
  </si>
  <si>
    <t>非鉄金属製造業</t>
  </si>
  <si>
    <t>金属製品製造業</t>
  </si>
  <si>
    <t>はん用機械器具製造業</t>
  </si>
  <si>
    <t>生産用機械器具製造業</t>
  </si>
  <si>
    <t>業務用機械器具製造業</t>
  </si>
  <si>
    <t>電子部品・デバイス・電子回路製造業</t>
  </si>
  <si>
    <t>電気機械器具製造業</t>
  </si>
  <si>
    <t>情報通信機械器具製造業</t>
  </si>
  <si>
    <t>輸送用機械器具製造業</t>
  </si>
  <si>
    <t>その他の製造業</t>
  </si>
  <si>
    <t>その他の業種</t>
    <rPh sb="4" eb="6">
      <t>ギョウシュ</t>
    </rPh>
    <phoneticPr fontId="2"/>
  </si>
  <si>
    <t>業種</t>
    <rPh sb="0" eb="2">
      <t>ギョウシュ</t>
    </rPh>
    <phoneticPr fontId="4"/>
  </si>
  <si>
    <t xml:space="preserve">- </t>
  </si>
  <si>
    <t>他に分類されない運搬・清掃・包装・選別等の職業</t>
  </si>
  <si>
    <t>用務員</t>
  </si>
  <si>
    <t>洗い場作業員</t>
  </si>
  <si>
    <t>小売店品出し・陳列・補充作業員</t>
  </si>
  <si>
    <t>工場業務員</t>
  </si>
  <si>
    <t>ピッキング作業員</t>
  </si>
  <si>
    <t>選別作業員</t>
  </si>
  <si>
    <t>ラベル・シール・タグ付け作業員</t>
  </si>
  <si>
    <t>製品包装作業員</t>
  </si>
  <si>
    <t>その他の清掃・洗浄作業員</t>
  </si>
  <si>
    <t>乗物洗浄・清掃員</t>
  </si>
  <si>
    <t>産業廃棄物収集作業員</t>
  </si>
  <si>
    <t>ごみ収集・し尿汲取作業員</t>
  </si>
  <si>
    <t>道路・公園清掃員</t>
  </si>
  <si>
    <t>旅館・ホテル客室清掃整備員</t>
  </si>
  <si>
    <t>ハウスクリーニング作業員</t>
  </si>
  <si>
    <t>ビル・建物清掃員</t>
  </si>
  <si>
    <t>梱包作業員</t>
  </si>
  <si>
    <t>倉庫作業員</t>
  </si>
  <si>
    <t>陸上荷役・運搬作業員</t>
  </si>
  <si>
    <t>港湾荷役作業員</t>
  </si>
  <si>
    <t>電気工事作業員</t>
  </si>
  <si>
    <t>電気通信設備工事作業員</t>
  </si>
  <si>
    <t>通信線架線・敷設作業員</t>
  </si>
  <si>
    <t>配電線架線・敷設作業員</t>
  </si>
  <si>
    <t>送電線架線・敷設作業員</t>
  </si>
  <si>
    <t>その他の採掘の職業</t>
  </si>
  <si>
    <t>砂利・砂・粘土採取作業員</t>
  </si>
  <si>
    <t>ダム・トンネル掘削作業員</t>
  </si>
  <si>
    <t>鉄道線路工事作業員</t>
  </si>
  <si>
    <t>舗装作業員</t>
  </si>
  <si>
    <t>建設・土木作業員</t>
  </si>
  <si>
    <t>その他の建設の職業</t>
  </si>
  <si>
    <t>防水工</t>
  </si>
  <si>
    <t>内装工</t>
  </si>
  <si>
    <t>配管工</t>
  </si>
  <si>
    <t>畳工</t>
  </si>
  <si>
    <t>左官</t>
  </si>
  <si>
    <t>屋根ふき工</t>
  </si>
  <si>
    <t>ブロック積工、タイル張工</t>
  </si>
  <si>
    <t>大工</t>
  </si>
  <si>
    <t>鉄筋工</t>
  </si>
  <si>
    <t>解体工</t>
  </si>
  <si>
    <t>とび工</t>
  </si>
  <si>
    <t>型枠大工</t>
  </si>
  <si>
    <t>その他の施設機械設備操作・建設機械運転の職業</t>
  </si>
  <si>
    <t>建設機械運転工</t>
  </si>
  <si>
    <t>クレーン・巻上機運転工</t>
  </si>
  <si>
    <t>ボイラーオペレーター</t>
  </si>
  <si>
    <t>発電員、変電員</t>
  </si>
  <si>
    <t>ビル設備管理員</t>
  </si>
  <si>
    <t>他に分類されない輸送の職業</t>
  </si>
  <si>
    <t>フォークリフト運転作業員</t>
  </si>
  <si>
    <t>甲板員、船舶機関員</t>
  </si>
  <si>
    <t>鉄道車両入換・編成作業員</t>
  </si>
  <si>
    <t>車掌</t>
  </si>
  <si>
    <t>航空機操縦士</t>
  </si>
  <si>
    <t>船舶機関長・機関士（漁労船を除く）</t>
  </si>
  <si>
    <t>船長・航海士・運航士（漁労船を除く）、水先人</t>
  </si>
  <si>
    <t>鉄道運転士</t>
  </si>
  <si>
    <t>その他の自動車運転の職業</t>
  </si>
  <si>
    <t>その他の乗用車運転の職業</t>
  </si>
  <si>
    <t>介護タクシー運転手</t>
  </si>
  <si>
    <t>タクシー・ハイヤー運転手（介護タクシーを除く）</t>
  </si>
  <si>
    <t>自家用乗用車運転手（利用者送迎）</t>
  </si>
  <si>
    <t>自家用乗用車運転手（役職員送迎）</t>
  </si>
  <si>
    <t>送迎バス運転手</t>
  </si>
  <si>
    <t>路線バス・貸切バス運転手</t>
  </si>
  <si>
    <t>その他の貨物自動車運転の職業</t>
  </si>
  <si>
    <t>ダンプカー運転手</t>
  </si>
  <si>
    <t>トレーラートラック運転手</t>
  </si>
  <si>
    <t>中型・小型トラック運転手</t>
  </si>
  <si>
    <t>大型トラック運転手</t>
  </si>
  <si>
    <t>新聞配達員</t>
  </si>
  <si>
    <t>郵便集配員、電報配達員</t>
  </si>
  <si>
    <t>ルート配送員</t>
  </si>
  <si>
    <t>荷物配達員</t>
  </si>
  <si>
    <t>生産類似の職業</t>
  </si>
  <si>
    <t>その他の生産関連の職業</t>
  </si>
  <si>
    <t>パタンナー</t>
  </si>
  <si>
    <t>製図工（建物・土木施設を除く）</t>
  </si>
  <si>
    <t>製図工（建物・土木施設）</t>
  </si>
  <si>
    <t>画工、看板制作工</t>
  </si>
  <si>
    <t>塗装工（建物を除く）</t>
  </si>
  <si>
    <t>建築塗装工</t>
  </si>
  <si>
    <t>計量計測機器・光学機械器具検査工</t>
  </si>
  <si>
    <t>輸送用機械器具検査工（自動車を除く）</t>
  </si>
  <si>
    <t>自動車検査工</t>
  </si>
  <si>
    <t>電気機械器具検査工</t>
  </si>
  <si>
    <t>はん用・生産用・業務用機械器具検査工</t>
  </si>
  <si>
    <t>その他の製品検査工（金属製品・食料品等を除く）</t>
  </si>
  <si>
    <t>ゴム・プラスチック製品検査工</t>
  </si>
  <si>
    <t>印刷・製本検査工</t>
  </si>
  <si>
    <t>木製品・パルプ・紙製品検査工</t>
  </si>
  <si>
    <t>紡織製品・衣服・繊維製品検査工</t>
  </si>
  <si>
    <t>窯業・土石製品検査工</t>
  </si>
  <si>
    <t>化学製品検査工</t>
  </si>
  <si>
    <t>飲料・たばこ検査工</t>
  </si>
  <si>
    <t>食料品検査工</t>
  </si>
  <si>
    <t>金属加工・溶接検査工</t>
  </si>
  <si>
    <t>金属材料検査工</t>
  </si>
  <si>
    <t>計量計測機器・光学機械器具整備・修理工</t>
  </si>
  <si>
    <t>輸送用機械器具整備・修理工（自動車を除く）</t>
  </si>
  <si>
    <t>自動車整備・修理工</t>
  </si>
  <si>
    <t>電気機械器具整備・修理工</t>
  </si>
  <si>
    <t>はん用・生産用・業務用機械器具整備・修理工</t>
  </si>
  <si>
    <t>計量計測機器・光学機械器具組立工</t>
  </si>
  <si>
    <t>輸送用機械器具組立工（自動車を除く）</t>
  </si>
  <si>
    <t>自動車組立工</t>
  </si>
  <si>
    <t>他の電気機械器具組立工</t>
  </si>
  <si>
    <t>電子機器部品組立工</t>
  </si>
  <si>
    <t>電線製造工</t>
  </si>
  <si>
    <t>電球・電子管・電池製造工</t>
  </si>
  <si>
    <t>半導体製品製造工</t>
  </si>
  <si>
    <t>民生用電子・電気機械器具組立工</t>
  </si>
  <si>
    <t>電子応用機械器具組立工</t>
  </si>
  <si>
    <t>電気通信機械器具組立工</t>
  </si>
  <si>
    <t>電気機械組立工</t>
  </si>
  <si>
    <t>はん用・生産用・業務用機械器具組立工</t>
  </si>
  <si>
    <t>その他の製品製造・加工処理工
　　 （金属製品・食料品等を除く）</t>
  </si>
  <si>
    <t>プラスチック製品製造工</t>
  </si>
  <si>
    <t>ゴム製品製造工</t>
  </si>
  <si>
    <t>印刷・製本作業員</t>
  </si>
  <si>
    <t>パルプ・紙製品製造工</t>
  </si>
  <si>
    <t>木製品製造工</t>
  </si>
  <si>
    <t>紡織製品・衣服・繊維製品製造工</t>
  </si>
  <si>
    <t>窯業・土石製品製造工</t>
  </si>
  <si>
    <t>化学製品製造工</t>
  </si>
  <si>
    <t>飲料・たばこ製造工</t>
  </si>
  <si>
    <t>他の食料品製造・加工処理工</t>
  </si>
  <si>
    <t>弁当・惣菜類製造工</t>
  </si>
  <si>
    <t>保存食品・冷凍加工食品製造工</t>
  </si>
  <si>
    <t>水産物加工工</t>
  </si>
  <si>
    <t>食肉加工工</t>
  </si>
  <si>
    <t>パン・菓子製造工</t>
  </si>
  <si>
    <t>その他の製品製造・加工処理工（金属製品）</t>
  </si>
  <si>
    <t>金属溶接・溶断工</t>
  </si>
  <si>
    <t>金属製器具・建具・金型等製造工</t>
  </si>
  <si>
    <t>めっき工、金属研磨工</t>
  </si>
  <si>
    <t>板金工（自動車を除く）</t>
  </si>
  <si>
    <t>自動車板金工</t>
  </si>
  <si>
    <t>鉄工、製缶工</t>
  </si>
  <si>
    <t>金属プレス工</t>
  </si>
  <si>
    <t>数値制御金属工作機械工</t>
  </si>
  <si>
    <t>汎用金属工作機械工</t>
  </si>
  <si>
    <t>圧延工</t>
  </si>
  <si>
    <t>金属熱処理工</t>
  </si>
  <si>
    <t>鋳物製造工、鍛造工</t>
  </si>
  <si>
    <t>製銑工、製鋼工、非鉄金属製錬工</t>
  </si>
  <si>
    <t>計量計測機器・光学機械器具組立設備オペレーター</t>
  </si>
  <si>
    <t>輸送用機械器具組立設備オペレーター
　　 （自動車を除く）</t>
  </si>
  <si>
    <t>自動車組立設備オペレーター</t>
  </si>
  <si>
    <t>電気機械器具組立設備オペレーター</t>
  </si>
  <si>
    <t>はん用・生産用・業務用機械器具
　　　組立設備オペレーター</t>
  </si>
  <si>
    <t>その他の生産設備オペレーター
　　 （金属製品・食料品等を除く）</t>
  </si>
  <si>
    <t>ゴム・プラスチック製品生産設備オペレーター</t>
  </si>
  <si>
    <t>印刷・製本設備オペレーター</t>
  </si>
  <si>
    <t>木製品・パルプ・紙製品生産設備オペレーター</t>
  </si>
  <si>
    <t>紡織製品・衣服・繊維製品生産設備オペレーター</t>
  </si>
  <si>
    <t>窯業・土石製品生産設備オペレーター</t>
  </si>
  <si>
    <t>化学製品生産設備オペレーター</t>
  </si>
  <si>
    <t>飲料・たばこ生産設備オペレーター</t>
  </si>
  <si>
    <t>食料品生産設備オペレーター</t>
  </si>
  <si>
    <t>その他の生産設備オペレーター（金属製品）</t>
  </si>
  <si>
    <t>金属溶接・溶断設備オペレーター</t>
  </si>
  <si>
    <t>めっき・金属研磨設備オペレーター</t>
  </si>
  <si>
    <t>板金設備オペレーター</t>
  </si>
  <si>
    <t>鉄工・製缶設備オペレーター</t>
  </si>
  <si>
    <t>金属プレス設備オペレーター</t>
  </si>
  <si>
    <t>金属工作設備オペレーター</t>
  </si>
  <si>
    <t>鋳造・鍛造設備オペレーター</t>
  </si>
  <si>
    <t>製銑・製鋼・非鉄金属製錬設備オペレーター</t>
  </si>
  <si>
    <t>その他の漁業の職業</t>
  </si>
  <si>
    <t>水産養殖作業員</t>
  </si>
  <si>
    <t>海藻・貝類採取作業員</t>
  </si>
  <si>
    <t>漁労船の船長・航海士・機関長・機関士</t>
  </si>
  <si>
    <t>漁労作業員</t>
  </si>
  <si>
    <t>その他の林業の職業</t>
  </si>
  <si>
    <t>伐木・造材・集材作業員</t>
  </si>
  <si>
    <t>育林作業員</t>
  </si>
  <si>
    <t>その他の農業の職業</t>
  </si>
  <si>
    <t>植木職、造園師</t>
  </si>
  <si>
    <t>動物飼育員（家畜・家きんを除く）</t>
  </si>
  <si>
    <t>家畜・家きん飼育作業員</t>
  </si>
  <si>
    <t>農作物栽培・収穫作業員（稲作・畑作を除く）</t>
  </si>
  <si>
    <t>稲作・畑作作業員</t>
  </si>
  <si>
    <t>その他の保安の職業</t>
  </si>
  <si>
    <t>消防員</t>
  </si>
  <si>
    <t>看守</t>
  </si>
  <si>
    <t>その他の司法警察職員</t>
  </si>
  <si>
    <t>警察官、海上保安官</t>
  </si>
  <si>
    <t>自衛官</t>
  </si>
  <si>
    <t>その他の警備員</t>
  </si>
  <si>
    <t>道路交通誘導員、雑踏警備員</t>
  </si>
  <si>
    <t>施設警備員</t>
  </si>
  <si>
    <t>他に分類されないサービスの職業</t>
  </si>
  <si>
    <t>ブライダルコーディネーター</t>
  </si>
  <si>
    <t>トリマー</t>
  </si>
  <si>
    <t>葬儀師、火葬係</t>
  </si>
  <si>
    <t>チラシ配布員</t>
  </si>
  <si>
    <t>広告宣伝員</t>
  </si>
  <si>
    <t>物品レンタル係</t>
  </si>
  <si>
    <t>物品一時預り人</t>
  </si>
  <si>
    <t>添乗員、観光案内人</t>
  </si>
  <si>
    <t>その他の居住施設・ビル等の管理の職業</t>
  </si>
  <si>
    <t>駐車場・駐輪場管理人</t>
  </si>
  <si>
    <t>ビル管理人</t>
  </si>
  <si>
    <t>寄宿舎・寮管理人</t>
  </si>
  <si>
    <t>マンション・アパート管理人</t>
  </si>
  <si>
    <t>その他の接客・給仕の職業</t>
  </si>
  <si>
    <t>娯楽場・スポーツ施設等接客員</t>
  </si>
  <si>
    <t>接客社交係、芸者</t>
  </si>
  <si>
    <t>客室乗務員、船舶旅客係</t>
  </si>
  <si>
    <t>旅館・ホテル接客係</t>
  </si>
  <si>
    <t>旅館・ホテルフロント係</t>
  </si>
  <si>
    <t>ウエイター・ウエイトレス（飲食店ホール係）、
　　   配ぜん人</t>
  </si>
  <si>
    <t>旅館・ホテル支配人</t>
  </si>
  <si>
    <t>飲食店店長</t>
  </si>
  <si>
    <t>その他の飲食物調理の職業</t>
  </si>
  <si>
    <t>バーテンダー</t>
  </si>
  <si>
    <t>調理補助者、調理人見習</t>
  </si>
  <si>
    <t>給食等調理員（学校を除く）</t>
  </si>
  <si>
    <t>学校給食調理員</t>
  </si>
  <si>
    <t>飲食チェーン店等調理員</t>
  </si>
  <si>
    <t>各国料理調理人（日本・西洋・中華料理を除く）</t>
  </si>
  <si>
    <t>中華料理調理人</t>
  </si>
  <si>
    <t>西洋料理調理人</t>
  </si>
  <si>
    <t>日本料理調理人</t>
  </si>
  <si>
    <t>クリーニング職、洗張職</t>
  </si>
  <si>
    <t>浴場従事人</t>
  </si>
  <si>
    <t>その他の理容師、美容師、美容関連サービスの職業</t>
  </si>
  <si>
    <t>ネイリスト</t>
  </si>
  <si>
    <t>エステティシャン</t>
  </si>
  <si>
    <t>理容師補助者、美容師補助者</t>
  </si>
  <si>
    <t>美容師</t>
  </si>
  <si>
    <t>理容師</t>
  </si>
  <si>
    <t>その他の家庭生活支援サービスの職業</t>
  </si>
  <si>
    <t>家政婦（夫）、家事手伝い</t>
  </si>
  <si>
    <t>訪問入浴介助員</t>
  </si>
  <si>
    <t>訪問介護員</t>
  </si>
  <si>
    <t>その他の施設介護の職業</t>
  </si>
  <si>
    <t>障害者福祉施設介護員</t>
  </si>
  <si>
    <t>高齢者通所型施設介護員</t>
  </si>
  <si>
    <t>高齢者入所型施設介護員</t>
  </si>
  <si>
    <t>その他の福祉・介護の専門的職業</t>
  </si>
  <si>
    <t>福祉用具専門相談員</t>
  </si>
  <si>
    <t>障害福祉サービス管理責任者、
　　　児童発達支援管理責任者</t>
  </si>
  <si>
    <t>訪問介護サービス提供責任者</t>
  </si>
  <si>
    <t>介護支援専門員（ケアマネジャー）</t>
  </si>
  <si>
    <t>他の社会福祉施設指導専門員</t>
  </si>
  <si>
    <t>児童福祉施設指導専門員</t>
  </si>
  <si>
    <t>障害者福祉施設指導専門員</t>
  </si>
  <si>
    <t>老人福祉施設指導専門員</t>
  </si>
  <si>
    <t>福祉相談・指導専門員</t>
  </si>
  <si>
    <t>社会福祉施設管理者</t>
  </si>
  <si>
    <t>その他の営業の職業</t>
  </si>
  <si>
    <t>印刷営業員</t>
  </si>
  <si>
    <t>建設工事営業員</t>
  </si>
  <si>
    <t>広告営業員</t>
  </si>
  <si>
    <t>不動産営業員</t>
  </si>
  <si>
    <t>金融・保険営業員</t>
  </si>
  <si>
    <t>通信・情報システム営業員</t>
  </si>
  <si>
    <t>自動車営業員</t>
  </si>
  <si>
    <t>機械器具営業員</t>
  </si>
  <si>
    <t>医薬品営業員</t>
  </si>
  <si>
    <t>化学製品営業員</t>
  </si>
  <si>
    <t>飲食料品営業員</t>
  </si>
  <si>
    <t>その他の販売類似の職業</t>
  </si>
  <si>
    <t>クリーニング等受入係員</t>
  </si>
  <si>
    <t>保険代理人、保険仲立人</t>
  </si>
  <si>
    <t>不動産仲介・売買人</t>
  </si>
  <si>
    <t>再生資源回収・卸売人</t>
  </si>
  <si>
    <t>商品仕入営業員</t>
  </si>
  <si>
    <t>商品訪問・移動販売員</t>
  </si>
  <si>
    <t>商品実演販売員</t>
  </si>
  <si>
    <t>他の商品販売店員</t>
  </si>
  <si>
    <t>ガソリンスタンド店員</t>
  </si>
  <si>
    <t>自動車販売店員、自動車用品販売店員</t>
  </si>
  <si>
    <t>携帯電話販売店員</t>
  </si>
  <si>
    <t>電気機器販売店員</t>
  </si>
  <si>
    <t>化粧品販売店員</t>
  </si>
  <si>
    <t>医薬品販売店員</t>
  </si>
  <si>
    <t>衣料品販売店員</t>
  </si>
  <si>
    <t>飲食料品販売店員</t>
  </si>
  <si>
    <t>食品スーパーマーケット販売店員</t>
  </si>
  <si>
    <t>総合小売店販売店員
　　 （百貨店・コンビニエンスストアを除く）</t>
  </si>
  <si>
    <t>コンビニエンスストア店員</t>
  </si>
  <si>
    <t>百貨店販売店員</t>
  </si>
  <si>
    <t>レジ係</t>
  </si>
  <si>
    <t>卸売店店長</t>
  </si>
  <si>
    <t>小売店店長</t>
  </si>
  <si>
    <t>その他のコンピュータ等事務用機器操作の職業</t>
  </si>
  <si>
    <t>データ入力事務員</t>
  </si>
  <si>
    <t>パーソナルコンピュータ操作員、
          ホームページ関連事務員</t>
  </si>
  <si>
    <t>郵便事務員</t>
  </si>
  <si>
    <t>運行管理事務員</t>
  </si>
  <si>
    <t>旅客・貨物係事務員</t>
  </si>
  <si>
    <t>その他の外勤事務の職業</t>
  </si>
  <si>
    <t>調査員</t>
  </si>
  <si>
    <t>集金人</t>
  </si>
  <si>
    <t>その他の営業・販売関連事務の職業</t>
  </si>
  <si>
    <t>貿易事務員</t>
  </si>
  <si>
    <t>営業事務員</t>
  </si>
  <si>
    <t>出荷・受荷係事務員</t>
  </si>
  <si>
    <t>生産現場事務員</t>
  </si>
  <si>
    <t>その他の会計事務の職業</t>
  </si>
  <si>
    <t>経理事務員</t>
  </si>
  <si>
    <t>預・貯金窓口事務員</t>
  </si>
  <si>
    <t>現金出納事務員</t>
  </si>
  <si>
    <t>介護事務員</t>
  </si>
  <si>
    <t>調剤薬局事務員</t>
  </si>
  <si>
    <t>医療事務員（調剤薬局を除く）</t>
  </si>
  <si>
    <t>インターネット応接等事務員</t>
  </si>
  <si>
    <t>他の電話応接事務の職業</t>
  </si>
  <si>
    <t>テレフォンアポインター</t>
  </si>
  <si>
    <t>コールセンターオペレーター</t>
  </si>
  <si>
    <t>他に分類されない総務等事務の職業</t>
  </si>
  <si>
    <t>法務・広報・知的財産事務の職業</t>
  </si>
  <si>
    <t>受付・案内事務員</t>
  </si>
  <si>
    <t>秘書</t>
  </si>
  <si>
    <t>一般事務員</t>
  </si>
  <si>
    <t>企画・調査事務員</t>
  </si>
  <si>
    <t>人事事務員</t>
  </si>
  <si>
    <t>総務事務員</t>
  </si>
  <si>
    <t>趣味・習い事指導教師</t>
  </si>
  <si>
    <t>スポーツ・舞踊指導員</t>
  </si>
  <si>
    <t>学習・語学指導教師</t>
  </si>
  <si>
    <t>その他の学校等教員</t>
  </si>
  <si>
    <t>高等専門学校教員、大学教員</t>
  </si>
  <si>
    <t>特別支援学校教員</t>
  </si>
  <si>
    <t>中等教育学校教員</t>
  </si>
  <si>
    <t>高等学校教員</t>
  </si>
  <si>
    <t>義務教育学校教員</t>
  </si>
  <si>
    <t>中学校教員</t>
  </si>
  <si>
    <t>小学校教員</t>
  </si>
  <si>
    <t>保育補助者、家庭的保育者</t>
  </si>
  <si>
    <t>児童館指導員</t>
  </si>
  <si>
    <t>学童保育指導員</t>
  </si>
  <si>
    <t>保育教諭</t>
  </si>
  <si>
    <t>幼稚園教員</t>
  </si>
  <si>
    <t>保育士</t>
  </si>
  <si>
    <t>その他の保健医療関係助手</t>
  </si>
  <si>
    <t>歯科助手</t>
  </si>
  <si>
    <t>看護助手</t>
  </si>
  <si>
    <t>その他の医療・看護・保健の専門的職業</t>
  </si>
  <si>
    <t>柔道整復師</t>
  </si>
  <si>
    <t>あん摩マッサージ指圧師、はり師、きゅう師</t>
  </si>
  <si>
    <t>管理栄養士</t>
  </si>
  <si>
    <t>栄養士</t>
  </si>
  <si>
    <t>歯科技工士</t>
  </si>
  <si>
    <t>歯科衛生士</t>
  </si>
  <si>
    <t>言語聴覚士</t>
  </si>
  <si>
    <t>視能訓練士</t>
  </si>
  <si>
    <t>作業療法士</t>
  </si>
  <si>
    <t>理学療法士</t>
  </si>
  <si>
    <t>臨床検査技師</t>
  </si>
  <si>
    <t>臨床工学技士</t>
  </si>
  <si>
    <t>診療放射線技師</t>
  </si>
  <si>
    <t>その他の看護師・准看護師</t>
  </si>
  <si>
    <t>看護師・准看護師（訪問看護）</t>
  </si>
  <si>
    <t>看護師・准看護師（介護施設）</t>
  </si>
  <si>
    <t>看護師・准看護師（病院・診療所）</t>
  </si>
  <si>
    <t>助産師</t>
  </si>
  <si>
    <t>保健師</t>
  </si>
  <si>
    <t>薬剤師</t>
  </si>
  <si>
    <t>獣医師</t>
  </si>
  <si>
    <t>歯科医師</t>
  </si>
  <si>
    <t>医師</t>
  </si>
  <si>
    <t>他に分類されない法務・経営・
　　   文化芸術等の専門的職業</t>
  </si>
  <si>
    <t>通訳</t>
  </si>
  <si>
    <t>職業スポーツ家</t>
  </si>
  <si>
    <t>カウンセラー（医療・福祉施設を除く）</t>
  </si>
  <si>
    <t>学芸員</t>
  </si>
  <si>
    <t>図書館司書</t>
  </si>
  <si>
    <t>プロデューサー、演出家</t>
  </si>
  <si>
    <t>舞踊家、俳優、演芸家</t>
  </si>
  <si>
    <t>音楽家</t>
  </si>
  <si>
    <t>その他のデザイナー</t>
  </si>
  <si>
    <t>グラフィックデザイナー</t>
  </si>
  <si>
    <t>ウェブデザイナー</t>
  </si>
  <si>
    <t>写真家、映像撮影者</t>
  </si>
  <si>
    <t>美術家、イラストレーター</t>
  </si>
  <si>
    <t>記者、編集者</t>
  </si>
  <si>
    <t>翻訳家</t>
  </si>
  <si>
    <t>著述家（翻訳家を除く）</t>
  </si>
  <si>
    <t>宗教家</t>
  </si>
  <si>
    <t>その他の経営・金融・保険の専門的職業</t>
  </si>
  <si>
    <t>社会保険労務士</t>
  </si>
  <si>
    <t>税理士</t>
  </si>
  <si>
    <t>公認会計士</t>
  </si>
  <si>
    <t>その他の法務の職業</t>
  </si>
  <si>
    <t>司法書士</t>
  </si>
  <si>
    <t>弁理士</t>
  </si>
  <si>
    <t>裁判官、検察官、弁護士</t>
  </si>
  <si>
    <t>他に分類されない技術の職業</t>
  </si>
  <si>
    <t>通信機器操作員</t>
  </si>
  <si>
    <t>その他の情報処理・通信技術者
　　 （ソフトウェア開発を除く）</t>
  </si>
  <si>
    <t>通信ネットワーク技術者</t>
  </si>
  <si>
    <t>ＩＴヘルプデスク</t>
  </si>
  <si>
    <t>ＩＴシステム運用管理者</t>
  </si>
  <si>
    <t>ＩＴプロジェクトマネージャ</t>
  </si>
  <si>
    <t>ＩＴシステム設計技術者</t>
  </si>
  <si>
    <t>ＩＴコンサルタント</t>
  </si>
  <si>
    <t>その他の情報処理・通信技術者（ソフトウェア開発）</t>
  </si>
  <si>
    <t>プログラマー</t>
  </si>
  <si>
    <t>ソフトウェア開発技術者（組込・制御系）</t>
  </si>
  <si>
    <t>ソフトウェア開発技術者（ＷＥＢ・オープン系）</t>
  </si>
  <si>
    <t>測量技術者</t>
  </si>
  <si>
    <t>土木技術者（設計・施工管理を除く）</t>
  </si>
  <si>
    <t>土木施工管理技術者</t>
  </si>
  <si>
    <t>土木設計技術者</t>
  </si>
  <si>
    <t>建築技術者（設計・施工管理を除く）</t>
  </si>
  <si>
    <t>建築施工管理技術者</t>
  </si>
  <si>
    <t>建築設計技術者</t>
  </si>
  <si>
    <t>その他の製造技術者</t>
  </si>
  <si>
    <t>化学製品製造技術者</t>
  </si>
  <si>
    <t>金属製錬・材料製造技術者</t>
  </si>
  <si>
    <t>輸送用機器製造技術者（自動車を除く）</t>
  </si>
  <si>
    <t>自動車製造技術者</t>
  </si>
  <si>
    <t>機械製造技術者</t>
  </si>
  <si>
    <t>電気工事技術者</t>
  </si>
  <si>
    <t>電気・電子・電気通信製造技術者
　　 （通信ネットワーク・電気工事技術者を除く）</t>
  </si>
  <si>
    <t>食品製造技術者</t>
  </si>
  <si>
    <t>その他の開発技術者</t>
  </si>
  <si>
    <t>化学製品開発技術者</t>
  </si>
  <si>
    <t>金属製錬・材料開発技術者</t>
  </si>
  <si>
    <t>輸送用機器開発技術者（自動車を除く）</t>
  </si>
  <si>
    <t>自動車開発技術者</t>
  </si>
  <si>
    <t>機械開発技術者</t>
  </si>
  <si>
    <t>電気・電子・電気通信開発技術者
　　 （通信ネットワークを除く）</t>
  </si>
  <si>
    <t>食品開発技術者</t>
  </si>
  <si>
    <t>農林水産技術者</t>
  </si>
  <si>
    <t>人文・社会科学系等研究者</t>
  </si>
  <si>
    <t>自然科学系研究者</t>
  </si>
  <si>
    <t>他に分類されない管理的職業</t>
  </si>
  <si>
    <t>管理的公務員</t>
  </si>
  <si>
    <t>その他の法人・団体管理職員</t>
  </si>
  <si>
    <t>会社管理職員</t>
  </si>
  <si>
    <t>別添２</t>
    <rPh sb="0" eb="2">
      <t>ベッテン</t>
    </rPh>
    <phoneticPr fontId="4"/>
  </si>
  <si>
    <t>職業安</t>
  </si>
  <si>
    <t>職業名</t>
    <rPh sb="0" eb="2">
      <t>ショクギョウ</t>
    </rPh>
    <rPh sb="2" eb="3">
      <t>メイ</t>
    </rPh>
    <phoneticPr fontId="4"/>
  </si>
  <si>
    <t>地域指数</t>
    <rPh sb="0" eb="2">
      <t>チイキ</t>
    </rPh>
    <rPh sb="2" eb="4">
      <t>シスウ</t>
    </rPh>
    <phoneticPr fontId="4"/>
  </si>
  <si>
    <t>深夜</t>
    <rPh sb="0" eb="2">
      <t>シンヤ</t>
    </rPh>
    <phoneticPr fontId="4"/>
  </si>
  <si>
    <t>小分類</t>
    <rPh sb="0" eb="3">
      <t>ショウブンルイ</t>
    </rPh>
    <phoneticPr fontId="4"/>
  </si>
  <si>
    <t>地域名</t>
    <rPh sb="0" eb="2">
      <t>チイキ</t>
    </rPh>
    <rPh sb="2" eb="3">
      <t>メイ</t>
    </rPh>
    <phoneticPr fontId="4"/>
  </si>
  <si>
    <t>基準値（0年）</t>
    <rPh sb="0" eb="3">
      <t>キジュンチ</t>
    </rPh>
    <rPh sb="5" eb="6">
      <t>ネン</t>
    </rPh>
    <phoneticPr fontId="4"/>
  </si>
  <si>
    <t>標準基準値×地域指数</t>
    <phoneticPr fontId="4"/>
  </si>
  <si>
    <t>職業安定
業務統計</t>
    <rPh sb="0" eb="2">
      <t>ショクギョウ</t>
    </rPh>
    <rPh sb="2" eb="4">
      <t>アンテイ</t>
    </rPh>
    <rPh sb="5" eb="7">
      <t>ギョウム</t>
    </rPh>
    <rPh sb="7" eb="9">
      <t>トウケイ</t>
    </rPh>
    <phoneticPr fontId="4"/>
  </si>
  <si>
    <t>企業規模</t>
    <rPh sb="0" eb="2">
      <t>キギョウ</t>
    </rPh>
    <rPh sb="2" eb="4">
      <t>キボ</t>
    </rPh>
    <phoneticPr fontId="5"/>
  </si>
  <si>
    <t>NO</t>
    <phoneticPr fontId="4"/>
  </si>
  <si>
    <t>①</t>
    <phoneticPr fontId="4"/>
  </si>
  <si>
    <t>②</t>
    <phoneticPr fontId="4"/>
  </si>
  <si>
    <t>③</t>
    <phoneticPr fontId="4"/>
  </si>
  <si>
    <t>④</t>
    <phoneticPr fontId="4"/>
  </si>
  <si>
    <t>■契約金額／支払単価 /職業分類</t>
    <rPh sb="1" eb="3">
      <t>ケイヤク</t>
    </rPh>
    <rPh sb="3" eb="5">
      <t>キンガク</t>
    </rPh>
    <rPh sb="6" eb="8">
      <t>シハラ</t>
    </rPh>
    <rPh sb="8" eb="10">
      <t>タンカ</t>
    </rPh>
    <rPh sb="12" eb="14">
      <t>ショクギョウ</t>
    </rPh>
    <rPh sb="14" eb="16">
      <t>ブンルイ</t>
    </rPh>
    <phoneticPr fontId="5"/>
  </si>
  <si>
    <t>支払時給との差異</t>
    <rPh sb="0" eb="2">
      <t>シハライ</t>
    </rPh>
    <rPh sb="2" eb="4">
      <t>ジキュウ</t>
    </rPh>
    <rPh sb="6" eb="8">
      <t>サイ</t>
    </rPh>
    <phoneticPr fontId="4"/>
  </si>
  <si>
    <t>変形労働時間　有/無</t>
    <rPh sb="0" eb="2">
      <t>ヘンケイ</t>
    </rPh>
    <rPh sb="2" eb="4">
      <t>ロウドウ</t>
    </rPh>
    <rPh sb="4" eb="6">
      <t>ジカン</t>
    </rPh>
    <rPh sb="7" eb="8">
      <t>アリ</t>
    </rPh>
    <rPh sb="9" eb="10">
      <t>ナシ</t>
    </rPh>
    <phoneticPr fontId="4"/>
  </si>
  <si>
    <t>申請日</t>
    <rPh sb="0" eb="2">
      <t>シンセイ</t>
    </rPh>
    <rPh sb="2" eb="3">
      <t>ビ</t>
    </rPh>
    <phoneticPr fontId="5"/>
  </si>
  <si>
    <t>bring plus</t>
  </si>
  <si>
    <t>申請者</t>
    <rPh sb="0" eb="2">
      <t>シンセイ</t>
    </rPh>
    <rPh sb="2" eb="3">
      <t>シャ</t>
    </rPh>
    <phoneticPr fontId="5"/>
  </si>
  <si>
    <t>取引企業代表者名</t>
    <rPh sb="0" eb="2">
      <t>トリヒキ</t>
    </rPh>
    <rPh sb="2" eb="4">
      <t>キギョウ</t>
    </rPh>
    <rPh sb="4" eb="7">
      <t>ダイヒョウシャ</t>
    </rPh>
    <rPh sb="7" eb="8">
      <t>メイ</t>
    </rPh>
    <phoneticPr fontId="5"/>
  </si>
  <si>
    <t>手当①：名称</t>
    <rPh sb="0" eb="2">
      <t>テアテ</t>
    </rPh>
    <rPh sb="4" eb="6">
      <t>メイショウ</t>
    </rPh>
    <phoneticPr fontId="5"/>
  </si>
  <si>
    <t>手当①：請求額</t>
    <rPh sb="0" eb="2">
      <t>テアテ</t>
    </rPh>
    <rPh sb="4" eb="6">
      <t>セイキュウ</t>
    </rPh>
    <rPh sb="6" eb="7">
      <t>ガク</t>
    </rPh>
    <phoneticPr fontId="5"/>
  </si>
  <si>
    <t>手当②：請求額</t>
    <rPh sb="0" eb="2">
      <t>テアテ</t>
    </rPh>
    <rPh sb="4" eb="6">
      <t>セイキュウ</t>
    </rPh>
    <rPh sb="6" eb="7">
      <t>ガク</t>
    </rPh>
    <phoneticPr fontId="5"/>
  </si>
  <si>
    <t>手当①：支給額</t>
    <rPh sb="0" eb="2">
      <t>テアテ</t>
    </rPh>
    <rPh sb="4" eb="6">
      <t>シキュウ</t>
    </rPh>
    <rPh sb="6" eb="7">
      <t>ガク</t>
    </rPh>
    <phoneticPr fontId="5"/>
  </si>
  <si>
    <t>手当②：支給額</t>
    <rPh sb="0" eb="2">
      <t>テアテ</t>
    </rPh>
    <rPh sb="4" eb="6">
      <t>シキュウ</t>
    </rPh>
    <rPh sb="6" eb="7">
      <t>ガク</t>
    </rPh>
    <phoneticPr fontId="5"/>
  </si>
  <si>
    <t>13000円</t>
  </si>
  <si>
    <t>割増請求稼働時間</t>
    <rPh sb="0" eb="2">
      <t>ワリマシ</t>
    </rPh>
    <rPh sb="2" eb="4">
      <t>セイキュウ</t>
    </rPh>
    <rPh sb="4" eb="6">
      <t>カドウ</t>
    </rPh>
    <rPh sb="6" eb="8">
      <t>ジカン</t>
    </rPh>
    <phoneticPr fontId="5"/>
  </si>
  <si>
    <t>所定労働時間</t>
    <rPh sb="0" eb="2">
      <t>ショテイ</t>
    </rPh>
    <rPh sb="2" eb="4">
      <t>ロウドウ</t>
    </rPh>
    <rPh sb="4" eb="6">
      <t>ジカン</t>
    </rPh>
    <phoneticPr fontId="5"/>
  </si>
  <si>
    <t>休憩時間</t>
    <rPh sb="0" eb="2">
      <t>キュウケイ</t>
    </rPh>
    <rPh sb="2" eb="4">
      <t>ジカン</t>
    </rPh>
    <phoneticPr fontId="5"/>
  </si>
  <si>
    <t>原価率</t>
    <rPh sb="0" eb="2">
      <t>ゲンカ</t>
    </rPh>
    <rPh sb="2" eb="3">
      <t>リツ</t>
    </rPh>
    <phoneticPr fontId="5"/>
  </si>
  <si>
    <t>沖縄</t>
    <rPh sb="0" eb="2">
      <t>オキナワ</t>
    </rPh>
    <phoneticPr fontId="4"/>
  </si>
  <si>
    <t>鹿児島</t>
    <rPh sb="0" eb="3">
      <t>カゴシマ</t>
    </rPh>
    <phoneticPr fontId="4"/>
  </si>
  <si>
    <t>宮崎</t>
    <rPh sb="0" eb="2">
      <t>ミヤザキ</t>
    </rPh>
    <phoneticPr fontId="4"/>
  </si>
  <si>
    <t>大分</t>
    <rPh sb="0" eb="2">
      <t>オオイタ</t>
    </rPh>
    <phoneticPr fontId="4"/>
  </si>
  <si>
    <t>熊本</t>
    <rPh sb="0" eb="2">
      <t>クマモト</t>
    </rPh>
    <phoneticPr fontId="4"/>
  </si>
  <si>
    <t>長崎</t>
    <rPh sb="0" eb="2">
      <t>ナガサキ</t>
    </rPh>
    <phoneticPr fontId="4"/>
  </si>
  <si>
    <t>佐賀</t>
    <rPh sb="0" eb="2">
      <t>サガ</t>
    </rPh>
    <phoneticPr fontId="4"/>
  </si>
  <si>
    <t>福岡</t>
    <rPh sb="0" eb="2">
      <t>フクオカ</t>
    </rPh>
    <phoneticPr fontId="4"/>
  </si>
  <si>
    <t>高知</t>
    <rPh sb="0" eb="2">
      <t>コウチ</t>
    </rPh>
    <phoneticPr fontId="4"/>
  </si>
  <si>
    <t>愛媛</t>
    <rPh sb="0" eb="2">
      <t>エヒメ</t>
    </rPh>
    <phoneticPr fontId="4"/>
  </si>
  <si>
    <t>香川</t>
    <rPh sb="0" eb="2">
      <t>カガワ</t>
    </rPh>
    <phoneticPr fontId="4"/>
  </si>
  <si>
    <t>徳島</t>
    <rPh sb="0" eb="2">
      <t>トクシマ</t>
    </rPh>
    <phoneticPr fontId="4"/>
  </si>
  <si>
    <t>山口</t>
    <rPh sb="0" eb="2">
      <t>ヤマグチ</t>
    </rPh>
    <phoneticPr fontId="4"/>
  </si>
  <si>
    <t>広島</t>
    <rPh sb="0" eb="2">
      <t>ヒロシマ</t>
    </rPh>
    <phoneticPr fontId="4"/>
  </si>
  <si>
    <t>岡山</t>
    <rPh sb="0" eb="2">
      <t>オカヤマ</t>
    </rPh>
    <phoneticPr fontId="4"/>
  </si>
  <si>
    <t>島根</t>
    <rPh sb="0" eb="2">
      <t>シマネ</t>
    </rPh>
    <phoneticPr fontId="4"/>
  </si>
  <si>
    <t>鳥取</t>
    <rPh sb="0" eb="2">
      <t>トットリ</t>
    </rPh>
    <phoneticPr fontId="4"/>
  </si>
  <si>
    <t>和歌山</t>
    <rPh sb="0" eb="3">
      <t>ワカヤマ</t>
    </rPh>
    <phoneticPr fontId="4"/>
  </si>
  <si>
    <t>奈良</t>
    <rPh sb="0" eb="2">
      <t>ナラ</t>
    </rPh>
    <phoneticPr fontId="4"/>
  </si>
  <si>
    <t>兵庫</t>
    <rPh sb="0" eb="2">
      <t>ヒョウゴ</t>
    </rPh>
    <phoneticPr fontId="4"/>
  </si>
  <si>
    <t>大阪</t>
    <rPh sb="0" eb="2">
      <t>オオサカ</t>
    </rPh>
    <phoneticPr fontId="4"/>
  </si>
  <si>
    <t>京都</t>
    <rPh sb="0" eb="2">
      <t>キョウト</t>
    </rPh>
    <phoneticPr fontId="4"/>
  </si>
  <si>
    <t>滋賀</t>
    <rPh sb="0" eb="2">
      <t>シガ</t>
    </rPh>
    <phoneticPr fontId="4"/>
  </si>
  <si>
    <t>三重</t>
    <rPh sb="0" eb="2">
      <t>ミエ</t>
    </rPh>
    <phoneticPr fontId="4"/>
  </si>
  <si>
    <t>愛知</t>
    <rPh sb="0" eb="2">
      <t>アイチ</t>
    </rPh>
    <phoneticPr fontId="4"/>
  </si>
  <si>
    <t>静岡</t>
    <rPh sb="0" eb="2">
      <t>シズオカ</t>
    </rPh>
    <phoneticPr fontId="4"/>
  </si>
  <si>
    <t>岐阜</t>
    <rPh sb="0" eb="2">
      <t>ギフ</t>
    </rPh>
    <phoneticPr fontId="4"/>
  </si>
  <si>
    <t>長野</t>
    <rPh sb="0" eb="2">
      <t>ナガノ</t>
    </rPh>
    <phoneticPr fontId="4"/>
  </si>
  <si>
    <t>山梨</t>
    <rPh sb="0" eb="2">
      <t>ヤマナシ</t>
    </rPh>
    <phoneticPr fontId="4"/>
  </si>
  <si>
    <t>福井</t>
    <rPh sb="0" eb="2">
      <t>フクイ</t>
    </rPh>
    <phoneticPr fontId="4"/>
  </si>
  <si>
    <t>石川</t>
    <rPh sb="0" eb="2">
      <t>イシカワ</t>
    </rPh>
    <phoneticPr fontId="4"/>
  </si>
  <si>
    <t>富山</t>
    <rPh sb="0" eb="2">
      <t>トヤマ</t>
    </rPh>
    <phoneticPr fontId="4"/>
  </si>
  <si>
    <t>新潟</t>
    <rPh sb="0" eb="2">
      <t>ニイガタ</t>
    </rPh>
    <phoneticPr fontId="4"/>
  </si>
  <si>
    <t>神奈川</t>
    <rPh sb="0" eb="3">
      <t>カナガワ</t>
    </rPh>
    <phoneticPr fontId="4"/>
  </si>
  <si>
    <t>東京</t>
    <rPh sb="0" eb="2">
      <t>トウキョウ</t>
    </rPh>
    <phoneticPr fontId="4"/>
  </si>
  <si>
    <t>千葉</t>
    <rPh sb="0" eb="2">
      <t>チバ</t>
    </rPh>
    <phoneticPr fontId="4"/>
  </si>
  <si>
    <t>埼玉</t>
    <rPh sb="0" eb="2">
      <t>サイタマ</t>
    </rPh>
    <phoneticPr fontId="4"/>
  </si>
  <si>
    <t>群馬</t>
    <rPh sb="0" eb="2">
      <t>グンマ</t>
    </rPh>
    <phoneticPr fontId="4"/>
  </si>
  <si>
    <t>栃木</t>
    <rPh sb="0" eb="2">
      <t>トチギ</t>
    </rPh>
    <phoneticPr fontId="4"/>
  </si>
  <si>
    <t>茨城</t>
    <rPh sb="0" eb="2">
      <t>イバラキ</t>
    </rPh>
    <phoneticPr fontId="4"/>
  </si>
  <si>
    <t>福島</t>
    <rPh sb="0" eb="2">
      <t>フクシマ</t>
    </rPh>
    <phoneticPr fontId="4"/>
  </si>
  <si>
    <t>山形</t>
    <rPh sb="0" eb="2">
      <t>ヤマガタ</t>
    </rPh>
    <phoneticPr fontId="4"/>
  </si>
  <si>
    <t>秋田</t>
    <rPh sb="0" eb="2">
      <t>アキタ</t>
    </rPh>
    <phoneticPr fontId="4"/>
  </si>
  <si>
    <t>宮城</t>
    <rPh sb="0" eb="2">
      <t>ミヤギ</t>
    </rPh>
    <phoneticPr fontId="4"/>
  </si>
  <si>
    <t>岩手</t>
    <rPh sb="0" eb="2">
      <t>イワテ</t>
    </rPh>
    <phoneticPr fontId="4"/>
  </si>
  <si>
    <t>青森</t>
    <rPh sb="0" eb="2">
      <t>アオモリ</t>
    </rPh>
    <phoneticPr fontId="4"/>
  </si>
  <si>
    <t>北海道</t>
    <rPh sb="0" eb="3">
      <t>ホッカイドウ</t>
    </rPh>
    <phoneticPr fontId="4"/>
  </si>
  <si>
    <t>全国計</t>
    <rPh sb="0" eb="2">
      <t>ゼンコク</t>
    </rPh>
    <rPh sb="2" eb="3">
      <t>ケイ</t>
    </rPh>
    <phoneticPr fontId="4"/>
  </si>
  <si>
    <t>都道府県別地域指数（※）</t>
    <rPh sb="0" eb="4">
      <t>トドウフケン</t>
    </rPh>
    <rPh sb="4" eb="5">
      <t>ベツ</t>
    </rPh>
    <rPh sb="5" eb="7">
      <t>チイキ</t>
    </rPh>
    <rPh sb="7" eb="9">
      <t>シスウ</t>
    </rPh>
    <phoneticPr fontId="4"/>
  </si>
  <si>
    <t>職業安定業務統計による地域指数</t>
    <rPh sb="0" eb="2">
      <t>ショクギョウ</t>
    </rPh>
    <rPh sb="2" eb="4">
      <t>アンテイ</t>
    </rPh>
    <rPh sb="4" eb="6">
      <t>ギョウム</t>
    </rPh>
    <rPh sb="6" eb="8">
      <t>トウケイ</t>
    </rPh>
    <rPh sb="11" eb="13">
      <t>チイキ</t>
    </rPh>
    <rPh sb="13" eb="15">
      <t>シスウ</t>
    </rPh>
    <phoneticPr fontId="4"/>
  </si>
  <si>
    <t>別添３</t>
    <rPh sb="0" eb="2">
      <t>ベッテン</t>
    </rPh>
    <phoneticPr fontId="4"/>
  </si>
  <si>
    <t>日勤</t>
  </si>
  <si>
    <t>なし</t>
    <phoneticPr fontId="5"/>
  </si>
  <si>
    <t>茨城</t>
  </si>
  <si>
    <t>川住　悠希</t>
    <rPh sb="0" eb="2">
      <t>カワズミ</t>
    </rPh>
    <rPh sb="3" eb="5">
      <t>ユウキ</t>
    </rPh>
    <phoneticPr fontId="5"/>
  </si>
  <si>
    <t>土日祝（会社カレンダー有）</t>
    <rPh sb="0" eb="1">
      <t>ド</t>
    </rPh>
    <rPh sb="1" eb="2">
      <t>ニチ</t>
    </rPh>
    <rPh sb="2" eb="3">
      <t>シュク</t>
    </rPh>
    <rPh sb="4" eb="6">
      <t>カイシャ</t>
    </rPh>
    <rPh sb="11" eb="12">
      <t>アリ</t>
    </rPh>
    <phoneticPr fontId="5"/>
  </si>
  <si>
    <t>-</t>
  </si>
  <si>
    <t>札幌計</t>
  </si>
  <si>
    <t>函館計</t>
  </si>
  <si>
    <t>旭川計</t>
  </si>
  <si>
    <t>帯広計</t>
  </si>
  <si>
    <t>北見計</t>
  </si>
  <si>
    <t>紋別計</t>
  </si>
  <si>
    <t>小樽計</t>
  </si>
  <si>
    <t>滝川計</t>
  </si>
  <si>
    <t>釧路計</t>
  </si>
  <si>
    <t>室蘭計</t>
  </si>
  <si>
    <t>岩見沢計</t>
  </si>
  <si>
    <t>稚内計</t>
  </si>
  <si>
    <t>岩内計</t>
  </si>
  <si>
    <t>留萌計</t>
  </si>
  <si>
    <t>名寄計</t>
  </si>
  <si>
    <t>浦河計</t>
  </si>
  <si>
    <t>網走計</t>
  </si>
  <si>
    <t>苫小牧計</t>
  </si>
  <si>
    <t>根室計</t>
  </si>
  <si>
    <t>札幌東計</t>
  </si>
  <si>
    <t>札幌北計</t>
  </si>
  <si>
    <t>千歳計</t>
  </si>
  <si>
    <t>青森計</t>
  </si>
  <si>
    <t>八戸計</t>
  </si>
  <si>
    <t>弘前計</t>
  </si>
  <si>
    <t>むつ計</t>
  </si>
  <si>
    <t>野辺地計</t>
  </si>
  <si>
    <t>五所川原計</t>
  </si>
  <si>
    <t>三沢計</t>
  </si>
  <si>
    <t>黒石計</t>
  </si>
  <si>
    <t>盛岡計</t>
  </si>
  <si>
    <t>釜石計</t>
  </si>
  <si>
    <t>宮古計</t>
  </si>
  <si>
    <t>花巻計</t>
  </si>
  <si>
    <t>一関計</t>
  </si>
  <si>
    <t>水沢計</t>
  </si>
  <si>
    <t>北上計</t>
  </si>
  <si>
    <t>大船渡計</t>
  </si>
  <si>
    <t>二戸計</t>
  </si>
  <si>
    <t>久慈計</t>
  </si>
  <si>
    <t>仙台計</t>
  </si>
  <si>
    <t>石巻計</t>
  </si>
  <si>
    <t>塩釜計</t>
  </si>
  <si>
    <t>古川計</t>
  </si>
  <si>
    <t>大河原計</t>
  </si>
  <si>
    <t>築館計</t>
  </si>
  <si>
    <t>迫計</t>
  </si>
  <si>
    <t>気仙沼計</t>
  </si>
  <si>
    <t>秋田計</t>
  </si>
  <si>
    <t>能代計</t>
  </si>
  <si>
    <t>大館計</t>
  </si>
  <si>
    <t>大曲計</t>
  </si>
  <si>
    <t>本荘計</t>
  </si>
  <si>
    <t>横手計</t>
  </si>
  <si>
    <t>湯沢計</t>
  </si>
  <si>
    <t>鹿角計</t>
  </si>
  <si>
    <t>山形計</t>
  </si>
  <si>
    <t>米沢計</t>
  </si>
  <si>
    <t>酒田計</t>
  </si>
  <si>
    <t>鶴岡計</t>
  </si>
  <si>
    <t>新庄計</t>
  </si>
  <si>
    <t>長井計</t>
  </si>
  <si>
    <t>村山計</t>
  </si>
  <si>
    <t>寒河江計</t>
  </si>
  <si>
    <t>福島計</t>
  </si>
  <si>
    <t>いわき計</t>
  </si>
  <si>
    <t>会津若松計</t>
  </si>
  <si>
    <t>郡山計</t>
  </si>
  <si>
    <t>白河計</t>
  </si>
  <si>
    <t>須賀川計</t>
  </si>
  <si>
    <t>二本松計</t>
  </si>
  <si>
    <t>相双計</t>
  </si>
  <si>
    <t>水戸計</t>
  </si>
  <si>
    <t>日立計</t>
  </si>
  <si>
    <t>筑西計</t>
  </si>
  <si>
    <t>土浦計</t>
  </si>
  <si>
    <t>古河計</t>
  </si>
  <si>
    <t>常総計</t>
  </si>
  <si>
    <t>石岡計</t>
  </si>
  <si>
    <t>常陸大宮計</t>
  </si>
  <si>
    <t>龍ケ崎計</t>
    <rPh sb="1" eb="4">
      <t>リュウガサキ</t>
    </rPh>
    <phoneticPr fontId="4"/>
  </si>
  <si>
    <t>高萩計</t>
  </si>
  <si>
    <t>常陸鹿嶋計</t>
  </si>
  <si>
    <t>宇都宮計</t>
  </si>
  <si>
    <t>鹿沼計</t>
  </si>
  <si>
    <t>栃木計</t>
  </si>
  <si>
    <t>佐野計</t>
  </si>
  <si>
    <t>足利計</t>
  </si>
  <si>
    <t>真岡計</t>
  </si>
  <si>
    <t>矢板計</t>
  </si>
  <si>
    <t>大田原計</t>
  </si>
  <si>
    <t>小山計</t>
  </si>
  <si>
    <t>日光計</t>
  </si>
  <si>
    <t>黒磯計</t>
  </si>
  <si>
    <t>前橋計</t>
  </si>
  <si>
    <t>高崎計</t>
  </si>
  <si>
    <t>桐生計</t>
  </si>
  <si>
    <t>伊勢崎計</t>
  </si>
  <si>
    <t>太田計</t>
  </si>
  <si>
    <t>館林計</t>
  </si>
  <si>
    <t>沼田計</t>
  </si>
  <si>
    <t>群馬富岡計</t>
  </si>
  <si>
    <t>藤岡計</t>
  </si>
  <si>
    <t>渋川計</t>
  </si>
  <si>
    <t>川口計</t>
  </si>
  <si>
    <t>熊谷計</t>
  </si>
  <si>
    <t>大宮計</t>
  </si>
  <si>
    <t>川越計</t>
  </si>
  <si>
    <t>浦和計</t>
  </si>
  <si>
    <t>所沢計</t>
  </si>
  <si>
    <t>秩父計</t>
  </si>
  <si>
    <t>春日部計</t>
  </si>
  <si>
    <t>行田計</t>
  </si>
  <si>
    <t>草加計</t>
  </si>
  <si>
    <t>朝霞計</t>
  </si>
  <si>
    <t>越谷計</t>
  </si>
  <si>
    <t>千葉計</t>
  </si>
  <si>
    <t>市川計</t>
  </si>
  <si>
    <t>銚子計</t>
  </si>
  <si>
    <t>館山計</t>
  </si>
  <si>
    <t>木更津計</t>
  </si>
  <si>
    <t>佐原計</t>
  </si>
  <si>
    <t>茂原計</t>
  </si>
  <si>
    <t>松戸計</t>
  </si>
  <si>
    <t>船橋計</t>
  </si>
  <si>
    <t>成田計</t>
  </si>
  <si>
    <t>千葉南計</t>
  </si>
  <si>
    <t>飯田橋計</t>
  </si>
  <si>
    <t>上野計</t>
  </si>
  <si>
    <t>品川計</t>
  </si>
  <si>
    <t>大森計</t>
  </si>
  <si>
    <t>渋谷計</t>
  </si>
  <si>
    <t>新宿計</t>
  </si>
  <si>
    <t>池袋計</t>
  </si>
  <si>
    <t>王子計</t>
  </si>
  <si>
    <t>足立計</t>
  </si>
  <si>
    <t>墨田計</t>
  </si>
  <si>
    <t>木場計</t>
  </si>
  <si>
    <t>八王子計</t>
  </si>
  <si>
    <t>立川計</t>
  </si>
  <si>
    <t>青梅計</t>
  </si>
  <si>
    <t>三鷹計</t>
  </si>
  <si>
    <t>町田計</t>
  </si>
  <si>
    <t>府中計</t>
  </si>
  <si>
    <t>横浜計</t>
  </si>
  <si>
    <t>戸塚計</t>
  </si>
  <si>
    <t>川崎計</t>
  </si>
  <si>
    <t>横須賀計</t>
  </si>
  <si>
    <t>平塚計</t>
  </si>
  <si>
    <t>小田原計</t>
  </si>
  <si>
    <t>藤沢計</t>
  </si>
  <si>
    <t>相模原計</t>
  </si>
  <si>
    <t>厚木計</t>
  </si>
  <si>
    <t>松田計</t>
  </si>
  <si>
    <t>横浜南計</t>
  </si>
  <si>
    <t>川崎北計</t>
  </si>
  <si>
    <t>港北計</t>
  </si>
  <si>
    <t>大和計</t>
  </si>
  <si>
    <t>新潟計</t>
  </si>
  <si>
    <t>長岡計</t>
  </si>
  <si>
    <t>上越計</t>
  </si>
  <si>
    <t>三条計</t>
  </si>
  <si>
    <t>柏崎計</t>
  </si>
  <si>
    <t>新発田計</t>
  </si>
  <si>
    <t>新津計</t>
  </si>
  <si>
    <t>十日町計</t>
  </si>
  <si>
    <t>糸魚川計</t>
  </si>
  <si>
    <t>巻計</t>
  </si>
  <si>
    <t>南魚沼計</t>
  </si>
  <si>
    <t>佐渡計</t>
  </si>
  <si>
    <t>村上計</t>
  </si>
  <si>
    <t>富山計</t>
  </si>
  <si>
    <t>高岡計</t>
  </si>
  <si>
    <t>魚津計</t>
  </si>
  <si>
    <t>砺波計</t>
  </si>
  <si>
    <t>氷見計</t>
  </si>
  <si>
    <t>滑川計</t>
  </si>
  <si>
    <t>金沢計</t>
  </si>
  <si>
    <t>小松計</t>
  </si>
  <si>
    <t>七尾計</t>
  </si>
  <si>
    <t>加賀計</t>
  </si>
  <si>
    <t>白山計</t>
  </si>
  <si>
    <t>輪島計</t>
  </si>
  <si>
    <t>福井計</t>
  </si>
  <si>
    <t>武生計</t>
  </si>
  <si>
    <t>大野計</t>
  </si>
  <si>
    <t>三国計</t>
  </si>
  <si>
    <t>敦賀計</t>
  </si>
  <si>
    <t>小浜計</t>
  </si>
  <si>
    <t>甲府計</t>
  </si>
  <si>
    <t>塩山計</t>
  </si>
  <si>
    <t>韮崎計</t>
  </si>
  <si>
    <t>鰍沢計</t>
  </si>
  <si>
    <t>富士吉田所計</t>
  </si>
  <si>
    <t>長野計</t>
  </si>
  <si>
    <t>松本計</t>
  </si>
  <si>
    <t>上田計</t>
  </si>
  <si>
    <t>飯田計</t>
  </si>
  <si>
    <t>伊那計</t>
  </si>
  <si>
    <t>篠ノ井計</t>
  </si>
  <si>
    <t>飯山計</t>
  </si>
  <si>
    <t>木曽福島計</t>
  </si>
  <si>
    <t>佐久計</t>
  </si>
  <si>
    <t>大町計</t>
  </si>
  <si>
    <t>須坂計</t>
  </si>
  <si>
    <t>諏訪計</t>
  </si>
  <si>
    <t>岐阜計</t>
  </si>
  <si>
    <t>大垣計</t>
  </si>
  <si>
    <t>多治見計</t>
  </si>
  <si>
    <t>高山計</t>
  </si>
  <si>
    <t>恵那計</t>
  </si>
  <si>
    <t>関計</t>
  </si>
  <si>
    <t>美濃加茂計</t>
  </si>
  <si>
    <t>中津川計</t>
  </si>
  <si>
    <t>静岡計</t>
  </si>
  <si>
    <t>浜松計</t>
  </si>
  <si>
    <t>沼津計</t>
  </si>
  <si>
    <t>清水計</t>
  </si>
  <si>
    <t>三島計</t>
  </si>
  <si>
    <t>掛川計</t>
  </si>
  <si>
    <t>富士宮計</t>
  </si>
  <si>
    <t>島田計</t>
  </si>
  <si>
    <t>磐田計</t>
  </si>
  <si>
    <t>富士計</t>
  </si>
  <si>
    <t>下田計</t>
  </si>
  <si>
    <t>焼津計</t>
  </si>
  <si>
    <t>名古屋東計</t>
  </si>
  <si>
    <t>名古屋中計</t>
  </si>
  <si>
    <t>名古屋南計</t>
  </si>
  <si>
    <t>豊橋計</t>
  </si>
  <si>
    <t>岡崎計</t>
  </si>
  <si>
    <t>一宮計</t>
  </si>
  <si>
    <t>半田計</t>
  </si>
  <si>
    <t>瀬戸計</t>
  </si>
  <si>
    <t>豊田計</t>
  </si>
  <si>
    <t>津島計</t>
  </si>
  <si>
    <t>刈谷計</t>
  </si>
  <si>
    <t>西尾計</t>
  </si>
  <si>
    <t>犬山計</t>
  </si>
  <si>
    <t>豊川計</t>
  </si>
  <si>
    <t>新城計</t>
  </si>
  <si>
    <t>春日井計</t>
  </si>
  <si>
    <t>四日市計</t>
  </si>
  <si>
    <t>伊勢計</t>
  </si>
  <si>
    <t>津計</t>
  </si>
  <si>
    <t>松阪計</t>
  </si>
  <si>
    <t>桑名計</t>
  </si>
  <si>
    <t>伊賀計</t>
  </si>
  <si>
    <t>尾鷲計</t>
  </si>
  <si>
    <t>鈴鹿計</t>
  </si>
  <si>
    <t>大津計</t>
  </si>
  <si>
    <t>長浜計</t>
  </si>
  <si>
    <t>彦根計</t>
  </si>
  <si>
    <t>東近江計</t>
  </si>
  <si>
    <t>甲賀計</t>
  </si>
  <si>
    <t>草津計</t>
  </si>
  <si>
    <t>京都西陣計</t>
  </si>
  <si>
    <t>京都七条計</t>
  </si>
  <si>
    <t>伏見計</t>
  </si>
  <si>
    <t>京都田辺計</t>
  </si>
  <si>
    <t>福知山計</t>
  </si>
  <si>
    <t>舞鶴計</t>
  </si>
  <si>
    <t>峰山計</t>
  </si>
  <si>
    <t>宇治計</t>
  </si>
  <si>
    <t>大阪東計</t>
  </si>
  <si>
    <t>梅田計</t>
  </si>
  <si>
    <t>大阪西計</t>
  </si>
  <si>
    <t>阿倍野計</t>
  </si>
  <si>
    <t>淀川計</t>
  </si>
  <si>
    <t>布施計</t>
  </si>
  <si>
    <t>堺計</t>
  </si>
  <si>
    <t>岸和田計</t>
  </si>
  <si>
    <t>池田計</t>
  </si>
  <si>
    <t>泉大津計</t>
  </si>
  <si>
    <t>藤井寺計</t>
  </si>
  <si>
    <t>枚方計</t>
  </si>
  <si>
    <t>泉佐野計</t>
  </si>
  <si>
    <t>茨木計</t>
  </si>
  <si>
    <t>河内長野計</t>
  </si>
  <si>
    <t>門真計</t>
  </si>
  <si>
    <t>神戸計</t>
  </si>
  <si>
    <t>灘計</t>
  </si>
  <si>
    <t>尼崎計</t>
  </si>
  <si>
    <t>西宮計</t>
  </si>
  <si>
    <t>姫路計</t>
  </si>
  <si>
    <t>加古川計</t>
  </si>
  <si>
    <t>伊丹計</t>
  </si>
  <si>
    <t>明石計</t>
  </si>
  <si>
    <t>豊岡計</t>
  </si>
  <si>
    <t>西脇計</t>
  </si>
  <si>
    <t>洲本計</t>
  </si>
  <si>
    <t>柏原計</t>
  </si>
  <si>
    <t>西神計</t>
  </si>
  <si>
    <t>龍野計</t>
  </si>
  <si>
    <t>奈良計</t>
  </si>
  <si>
    <t>大和高田計</t>
  </si>
  <si>
    <t>桜井計</t>
  </si>
  <si>
    <t>下市計</t>
  </si>
  <si>
    <t>大和郡山計</t>
  </si>
  <si>
    <t>和歌山計</t>
  </si>
  <si>
    <t>新宮計</t>
  </si>
  <si>
    <t>田辺計</t>
  </si>
  <si>
    <t>御坊計</t>
  </si>
  <si>
    <t>湯浅計</t>
  </si>
  <si>
    <t>海南計</t>
  </si>
  <si>
    <t>橋本計</t>
  </si>
  <si>
    <t>鳥取計</t>
  </si>
  <si>
    <t>米子計</t>
  </si>
  <si>
    <t>倉吉計</t>
  </si>
  <si>
    <t>松江計</t>
  </si>
  <si>
    <t>浜田計</t>
  </si>
  <si>
    <t>出雲計</t>
  </si>
  <si>
    <t>益田計</t>
  </si>
  <si>
    <t>雲南計</t>
  </si>
  <si>
    <t>石見大田計</t>
  </si>
  <si>
    <t>岡山計</t>
  </si>
  <si>
    <t>津山計</t>
  </si>
  <si>
    <t>倉敷中央計</t>
  </si>
  <si>
    <t>玉野計</t>
  </si>
  <si>
    <t>和気計</t>
  </si>
  <si>
    <t>高梁計</t>
  </si>
  <si>
    <t>笠岡計</t>
  </si>
  <si>
    <t>西大寺計</t>
  </si>
  <si>
    <t>広島計</t>
  </si>
  <si>
    <t>広島西条計</t>
  </si>
  <si>
    <t>呉計</t>
  </si>
  <si>
    <t>尾道計</t>
  </si>
  <si>
    <t>福山計</t>
  </si>
  <si>
    <t>三原計</t>
  </si>
  <si>
    <t>三次計</t>
  </si>
  <si>
    <t>可部計</t>
  </si>
  <si>
    <t>広島東計</t>
  </si>
  <si>
    <t>廿日市計</t>
  </si>
  <si>
    <t>山口計</t>
  </si>
  <si>
    <t>下関計</t>
  </si>
  <si>
    <t>宇部計</t>
  </si>
  <si>
    <t>防府計</t>
  </si>
  <si>
    <t>萩計</t>
  </si>
  <si>
    <t>徳山計</t>
  </si>
  <si>
    <t>下松計</t>
  </si>
  <si>
    <t>岩国計</t>
  </si>
  <si>
    <t>柳井計</t>
  </si>
  <si>
    <t>徳島計</t>
  </si>
  <si>
    <t>三好計</t>
  </si>
  <si>
    <t>美馬計</t>
  </si>
  <si>
    <t>阿南計</t>
  </si>
  <si>
    <t>吉野川計</t>
  </si>
  <si>
    <t>鳴門計</t>
  </si>
  <si>
    <t>高松計</t>
  </si>
  <si>
    <t>丸亀計</t>
  </si>
  <si>
    <t>坂出計</t>
  </si>
  <si>
    <t>観音寺計</t>
  </si>
  <si>
    <t>さぬき計</t>
  </si>
  <si>
    <t>土庄計</t>
  </si>
  <si>
    <t>松山計</t>
  </si>
  <si>
    <t>今治計</t>
  </si>
  <si>
    <t>八幡浜計</t>
  </si>
  <si>
    <t>宇和島計</t>
  </si>
  <si>
    <t>新居浜計</t>
  </si>
  <si>
    <t>西条計</t>
  </si>
  <si>
    <t>四国中央計</t>
  </si>
  <si>
    <t>大洲計</t>
  </si>
  <si>
    <t>高知計</t>
  </si>
  <si>
    <t>須崎計</t>
  </si>
  <si>
    <t>四万十計</t>
  </si>
  <si>
    <t>安芸計</t>
  </si>
  <si>
    <t>いの計</t>
  </si>
  <si>
    <t>福岡中央計</t>
  </si>
  <si>
    <t>飯塚計</t>
  </si>
  <si>
    <t>大牟田計</t>
  </si>
  <si>
    <t>八幡計</t>
  </si>
  <si>
    <t>久留米計</t>
  </si>
  <si>
    <t>小倉計</t>
  </si>
  <si>
    <t>直方計</t>
  </si>
  <si>
    <t>田川計</t>
  </si>
  <si>
    <t>行橋計</t>
  </si>
  <si>
    <t>福岡東計</t>
  </si>
  <si>
    <t>八女計</t>
  </si>
  <si>
    <t>朝倉計</t>
  </si>
  <si>
    <t>福岡南計</t>
  </si>
  <si>
    <t>福岡西計</t>
  </si>
  <si>
    <t>佐賀計</t>
  </si>
  <si>
    <t>唐津計</t>
  </si>
  <si>
    <t>武雄計</t>
  </si>
  <si>
    <t>伊万里計</t>
  </si>
  <si>
    <t>鳥栖計</t>
  </si>
  <si>
    <t>鹿島計</t>
  </si>
  <si>
    <t>長崎計</t>
  </si>
  <si>
    <t>佐世保計</t>
  </si>
  <si>
    <t>諫早計</t>
  </si>
  <si>
    <t>大村計</t>
  </si>
  <si>
    <t>島原計</t>
  </si>
  <si>
    <t>江迎計</t>
  </si>
  <si>
    <t>五島計</t>
  </si>
  <si>
    <t>対馬計</t>
  </si>
  <si>
    <t>熊本計</t>
  </si>
  <si>
    <t>八代計</t>
  </si>
  <si>
    <t>菊池計</t>
  </si>
  <si>
    <t>玉名計</t>
  </si>
  <si>
    <t>天草計</t>
  </si>
  <si>
    <t>球磨計</t>
  </si>
  <si>
    <t>宇城計</t>
  </si>
  <si>
    <t>阿蘇計</t>
  </si>
  <si>
    <t>水俣計</t>
  </si>
  <si>
    <t>大分計</t>
  </si>
  <si>
    <t>別府計</t>
  </si>
  <si>
    <t>中津計</t>
  </si>
  <si>
    <t>日田計</t>
  </si>
  <si>
    <t>佐伯計</t>
  </si>
  <si>
    <t>宇佐計</t>
  </si>
  <si>
    <t>豊後大野計</t>
  </si>
  <si>
    <t>宮崎計</t>
  </si>
  <si>
    <t>延岡計</t>
  </si>
  <si>
    <t>日向計</t>
  </si>
  <si>
    <t>都城計</t>
  </si>
  <si>
    <t>日南計</t>
  </si>
  <si>
    <t>高鍋計</t>
  </si>
  <si>
    <t>小林計</t>
  </si>
  <si>
    <t>鹿児島計</t>
  </si>
  <si>
    <t>川内計</t>
  </si>
  <si>
    <t>鹿屋計</t>
  </si>
  <si>
    <t>国分計</t>
  </si>
  <si>
    <t>加世田計</t>
  </si>
  <si>
    <t>伊集院計</t>
  </si>
  <si>
    <t>大隅計</t>
  </si>
  <si>
    <t>出水計</t>
  </si>
  <si>
    <t>名瀬計</t>
  </si>
  <si>
    <t>指宿計</t>
  </si>
  <si>
    <t>那覇計</t>
  </si>
  <si>
    <t>沖縄計</t>
  </si>
  <si>
    <t>名護計</t>
  </si>
  <si>
    <t>八重山計</t>
  </si>
  <si>
    <t>有</t>
  </si>
  <si>
    <t>第一熱処理工業株式会社</t>
    <rPh sb="0" eb="11">
      <t>ダイイチネツショリコウギョウカブシキガイシャ</t>
    </rPh>
    <phoneticPr fontId="5"/>
  </si>
  <si>
    <t>成田工場</t>
    <rPh sb="0" eb="4">
      <t>ナリタコウジョウ</t>
    </rPh>
    <phoneticPr fontId="5"/>
  </si>
  <si>
    <t>287-0225</t>
    <phoneticPr fontId="5"/>
  </si>
  <si>
    <t>千葉県成田市吉岡681-2</t>
    <rPh sb="0" eb="3">
      <t>チバケン</t>
    </rPh>
    <rPh sb="3" eb="6">
      <t>ナリタシ</t>
    </rPh>
    <rPh sb="6" eb="8">
      <t>ヨシオカ</t>
    </rPh>
    <phoneticPr fontId="5"/>
  </si>
  <si>
    <t>0476-73-7997</t>
    <phoneticPr fontId="5"/>
  </si>
  <si>
    <t>担当部長</t>
    <rPh sb="0" eb="2">
      <t>タントウ</t>
    </rPh>
    <rPh sb="2" eb="4">
      <t>ブチョウ</t>
    </rPh>
    <phoneticPr fontId="4"/>
  </si>
  <si>
    <t>黒﨑善行</t>
    <rPh sb="0" eb="2">
      <t>クロサキ</t>
    </rPh>
    <rPh sb="2" eb="4">
      <t>ヨシユキ</t>
    </rPh>
    <phoneticPr fontId="5"/>
  </si>
  <si>
    <t>未上場</t>
  </si>
  <si>
    <t>曾根光彰</t>
    <rPh sb="0" eb="2">
      <t>ソネ</t>
    </rPh>
    <rPh sb="2" eb="3">
      <t>ヒカリ</t>
    </rPh>
    <rPh sb="3" eb="4">
      <t>アキラ</t>
    </rPh>
    <phoneticPr fontId="5"/>
  </si>
  <si>
    <t>自動車、建機部品</t>
    <rPh sb="0" eb="3">
      <t>ジドウシャ</t>
    </rPh>
    <rPh sb="4" eb="8">
      <t>ケンキブヒン</t>
    </rPh>
    <phoneticPr fontId="4"/>
  </si>
  <si>
    <t>成田工場</t>
    <rPh sb="0" eb="4">
      <t>ナリタコウジョウ</t>
    </rPh>
    <phoneticPr fontId="4"/>
  </si>
  <si>
    <t>金属製品の検査</t>
    <rPh sb="0" eb="4">
      <t>キンゾクセイヒン</t>
    </rPh>
    <rPh sb="5" eb="7">
      <t>ケンサ</t>
    </rPh>
    <phoneticPr fontId="5"/>
  </si>
  <si>
    <t>5営業日</t>
    <rPh sb="1" eb="3">
      <t>エイギョウ</t>
    </rPh>
    <rPh sb="3" eb="4">
      <t>ヒ</t>
    </rPh>
    <phoneticPr fontId="5"/>
  </si>
  <si>
    <t>20日</t>
    <rPh sb="2" eb="3">
      <t>ヒ</t>
    </rPh>
    <phoneticPr fontId="4"/>
  </si>
  <si>
    <t>2ヵ月</t>
    <rPh sb="2" eb="3">
      <t>ゲツ</t>
    </rPh>
    <phoneticPr fontId="5"/>
  </si>
  <si>
    <t>川住</t>
    <rPh sb="0" eb="1">
      <t>カワ</t>
    </rPh>
    <rPh sb="1" eb="2">
      <t>スミ</t>
    </rPh>
    <phoneticPr fontId="4"/>
  </si>
  <si>
    <t>20日</t>
    <rPh sb="2" eb="3">
      <t>ヒ</t>
    </rPh>
    <phoneticPr fontId="4"/>
  </si>
  <si>
    <t>翌月15日</t>
    <rPh sb="0" eb="2">
      <t>ヨクゲツ</t>
    </rPh>
    <rPh sb="4" eb="5">
      <t>ニチ</t>
    </rPh>
    <phoneticPr fontId="5"/>
  </si>
  <si>
    <t>翌月20日</t>
    <rPh sb="0" eb="2">
      <t>ヨクゲツ</t>
    </rPh>
    <rPh sb="1" eb="2">
      <t>ツキ</t>
    </rPh>
    <rPh sb="4" eb="5">
      <t>ヒ</t>
    </rPh>
    <phoneticPr fontId="5"/>
  </si>
  <si>
    <t>一般事務</t>
    <rPh sb="0" eb="4">
      <t>イッパンジム</t>
    </rPh>
    <phoneticPr fontId="5"/>
  </si>
  <si>
    <t>既存</t>
  </si>
  <si>
    <t>現状検査員男性1名の欠員有</t>
    <rPh sb="0" eb="2">
      <t>ゲンジョウ</t>
    </rPh>
    <rPh sb="2" eb="5">
      <t>ケンサイン</t>
    </rPh>
    <rPh sb="5" eb="7">
      <t>ダンセイ</t>
    </rPh>
    <rPh sb="8" eb="9">
      <t>メイ</t>
    </rPh>
    <rPh sb="10" eb="12">
      <t>ケツイン</t>
    </rPh>
    <rPh sb="12" eb="13">
      <t>アリ</t>
    </rPh>
    <phoneticPr fontId="4"/>
  </si>
  <si>
    <t>事務女性1名の受注。求人依頼・掘起し対応いたします。</t>
    <rPh sb="0" eb="2">
      <t>ジム</t>
    </rPh>
    <rPh sb="2" eb="4">
      <t>ジョセイ</t>
    </rPh>
    <rPh sb="5" eb="6">
      <t>メイ</t>
    </rPh>
    <rPh sb="7" eb="9">
      <t>ジュチュウ</t>
    </rPh>
    <rPh sb="10" eb="12">
      <t>キュウジン</t>
    </rPh>
    <rPh sb="12" eb="14">
      <t>イライ</t>
    </rPh>
    <rPh sb="15" eb="17">
      <t>ホリオコ</t>
    </rPh>
    <rPh sb="18" eb="20">
      <t>タイオウ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</si>
</sst>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176" formatCode="0_ ;[Red]\-0\ "/>
    <numFmt numFmtId="177" formatCode="#,##0;[Red]#,##0"/>
    <numFmt numFmtId="178" formatCode="#,##0&quot;人&quot;"/>
    <numFmt numFmtId="179" formatCode="General&quot;人&quot;"/>
    <numFmt numFmtId="180" formatCode="#,###&quot;円&quot;"/>
    <numFmt numFmtId="181" formatCode="#,##0_);[Red]\(#,##0\)"/>
    <numFmt numFmtId="182" formatCode="0.0%"/>
    <numFmt numFmtId="183" formatCode="#,##0&quot;円&quot;;[Red]\-#,##0&quot;円&quot;"/>
    <numFmt numFmtId="184" formatCode="0.0_);[Red]\(0.0\)"/>
    <numFmt numFmtId="185" formatCode="#,##0.0_ ;[Red]\-#,##0.0\ "/>
  </numFmts>
  <fonts count="3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sz val="11"/>
      <name val="ＭＳ Ｐゴシック"/>
      <family val="3"/>
      <charset val="128"/>
    </font>
    <font>
      <sz val="6"/>
      <name val="游ゴシック"/>
      <family val="2"/>
      <charset val="128"/>
      <scheme val="minor"/>
    </font>
    <font>
      <sz val="6"/>
      <name val="ＭＳ Ｐゴシック"/>
      <family val="3"/>
      <charset val="128"/>
    </font>
    <font>
      <sz val="11"/>
      <name val="ＭＳ Ｐ明朝"/>
      <family val="1"/>
      <charset val="128"/>
    </font>
    <font>
      <sz val="14"/>
      <name val="ＭＳ Ｐゴシック"/>
      <family val="3"/>
      <charset val="128"/>
    </font>
    <font>
      <sz val="9"/>
      <name val="ＭＳ Ｐゴシック"/>
      <family val="3"/>
      <charset val="128"/>
    </font>
    <font>
      <sz val="10"/>
      <name val="ＭＳ Ｐゴシック"/>
      <family val="3"/>
      <charset val="128"/>
    </font>
    <font>
      <sz val="8"/>
      <name val="ＭＳ Ｐゴシック"/>
      <family val="3"/>
      <charset val="128"/>
    </font>
    <font>
      <sz val="11"/>
      <name val="HG正楷書体"/>
      <family val="3"/>
      <charset val="128"/>
    </font>
    <font>
      <sz val="20"/>
      <name val="HGP行書体"/>
      <family val="4"/>
      <charset val="128"/>
    </font>
    <font>
      <sz val="12"/>
      <color theme="1"/>
      <name val="游ゴシック"/>
      <family val="3"/>
      <charset val="128"/>
      <scheme val="minor"/>
    </font>
    <font>
      <sz val="14"/>
      <color theme="1"/>
      <name val="游ゴシック"/>
      <family val="3"/>
      <charset val="128"/>
      <scheme val="minor"/>
    </font>
    <font>
      <sz val="15"/>
      <color theme="1"/>
      <name val="游ゴシック"/>
      <family val="3"/>
      <charset val="128"/>
      <scheme val="minor"/>
    </font>
    <font>
      <sz val="12"/>
      <name val="游ゴシック"/>
      <family val="3"/>
      <charset val="128"/>
      <scheme val="minor"/>
    </font>
    <font>
      <sz val="16"/>
      <color theme="1"/>
      <name val="游ゴシック"/>
      <family val="3"/>
      <charset val="128"/>
    </font>
    <font>
      <b/>
      <sz val="12"/>
      <color theme="1"/>
      <name val="游ゴシック"/>
      <family val="3"/>
      <charset val="128"/>
      <scheme val="minor"/>
    </font>
    <font>
      <b/>
      <sz val="16"/>
      <color theme="1"/>
      <name val="游ゴシック"/>
      <family val="3"/>
      <charset val="128"/>
      <scheme val="minor"/>
    </font>
    <font>
      <sz val="12"/>
      <name val="ＭＳ Ｐゴシック"/>
      <family val="3"/>
      <charset val="128"/>
    </font>
    <font>
      <sz val="18"/>
      <name val="ＭＳ Ｐゴシック"/>
      <family val="3"/>
      <charset val="128"/>
    </font>
    <font>
      <sz val="11"/>
      <color indexed="10"/>
      <name val="ＭＳ Ｐゴシック"/>
      <family val="3"/>
      <charset val="128"/>
    </font>
    <font>
      <sz val="24"/>
      <name val="ＭＳ Ｐゴシック"/>
      <family val="3"/>
      <charset val="128"/>
    </font>
    <font>
      <sz val="11"/>
      <color theme="1"/>
      <name val="游ゴシック"/>
      <family val="2"/>
      <scheme val="minor"/>
    </font>
    <font>
      <sz val="13"/>
      <color theme="1"/>
      <name val="游ゴシック"/>
      <family val="3"/>
      <charset val="128"/>
      <scheme val="minor"/>
    </font>
    <font>
      <sz val="16"/>
      <color theme="1"/>
      <name val="游ゴシック"/>
      <family val="2"/>
      <scheme val="minor"/>
    </font>
    <font>
      <sz val="18"/>
      <color theme="1"/>
      <name val="游ゴシック"/>
      <family val="2"/>
      <charset val="128"/>
      <scheme val="minor"/>
    </font>
    <font>
      <sz val="16"/>
      <color theme="1"/>
      <name val="游ゴシック"/>
      <family val="3"/>
      <charset val="128"/>
      <scheme val="minor"/>
    </font>
    <font>
      <sz val="14"/>
      <color theme="1"/>
      <name val="游ゴシック"/>
      <family val="2"/>
      <charset val="128"/>
      <scheme val="minor"/>
    </font>
    <font>
      <sz val="14"/>
      <color theme="1"/>
      <name val="游ゴシック"/>
      <family val="2"/>
      <scheme val="minor"/>
    </font>
  </fonts>
  <fills count="9">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9"/>
        <bgColor indexed="64"/>
      </patternFill>
    </fill>
    <fill>
      <patternFill patternType="solid">
        <fgColor rgb="FFCCFFFF"/>
        <bgColor indexed="64"/>
      </patternFill>
    </fill>
    <fill>
      <patternFill patternType="solid">
        <fgColor theme="0"/>
        <bgColor indexed="64"/>
      </patternFill>
    </fill>
    <fill>
      <patternFill patternType="solid">
        <fgColor rgb="FF66FFFF"/>
        <bgColor indexed="64"/>
      </patternFill>
    </fill>
    <fill>
      <patternFill patternType="solid">
        <fgColor rgb="FF66CCFF"/>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medium">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top style="thin">
        <color auto="1"/>
      </top>
      <bottom style="medium">
        <color auto="1"/>
      </bottom>
      <diagonal/>
    </border>
    <border>
      <left style="thin">
        <color indexed="64"/>
      </left>
      <right style="thin">
        <color indexed="64"/>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auto="1"/>
      </top>
      <bottom style="thin">
        <color indexed="64"/>
      </bottom>
      <diagonal/>
    </border>
    <border>
      <left style="medium">
        <color auto="1"/>
      </left>
      <right style="medium">
        <color auto="1"/>
      </right>
      <top style="thin">
        <color auto="1"/>
      </top>
      <bottom style="thin">
        <color indexed="64"/>
      </bottom>
      <diagonal/>
    </border>
    <border>
      <left/>
      <right style="medium">
        <color indexed="64"/>
      </right>
      <top/>
      <bottom style="thin">
        <color auto="1"/>
      </bottom>
      <diagonal/>
    </border>
    <border>
      <left style="thin">
        <color indexed="64"/>
      </left>
      <right style="medium">
        <color indexed="64"/>
      </right>
      <top/>
      <bottom style="thin">
        <color auto="1"/>
      </bottom>
      <diagonal/>
    </border>
    <border>
      <left style="thin">
        <color indexed="64"/>
      </left>
      <right style="thin">
        <color indexed="64"/>
      </right>
      <top/>
      <bottom style="thin">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thin">
        <color indexed="64"/>
      </left>
      <right style="medium">
        <color indexed="64"/>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bottom/>
      <diagonal/>
    </border>
    <border>
      <left style="medium">
        <color auto="1"/>
      </left>
      <right/>
      <top/>
      <bottom/>
      <diagonal/>
    </border>
    <border>
      <left style="medium">
        <color auto="1"/>
      </left>
      <right style="medium">
        <color auto="1"/>
      </right>
      <top/>
      <bottom/>
      <diagonal/>
    </border>
    <border>
      <left/>
      <right style="medium">
        <color indexed="64"/>
      </right>
      <top style="medium">
        <color indexed="64"/>
      </top>
      <bottom style="thin">
        <color auto="1"/>
      </bottom>
      <diagonal/>
    </border>
    <border>
      <left style="thin">
        <color indexed="64"/>
      </left>
      <right style="medium">
        <color indexed="64"/>
      </right>
      <top style="medium">
        <color indexed="64"/>
      </top>
      <bottom style="thin">
        <color auto="1"/>
      </bottom>
      <diagonal/>
    </border>
    <border>
      <left/>
      <right/>
      <top style="medium">
        <color auto="1"/>
      </top>
      <bottom style="thin">
        <color auto="1"/>
      </bottom>
      <diagonal/>
    </border>
    <border>
      <left style="thin">
        <color indexed="64"/>
      </left>
      <right style="thin">
        <color indexed="64"/>
      </right>
      <top style="medium">
        <color indexed="64"/>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indexed="64"/>
      </top>
      <bottom style="thin">
        <color auto="1"/>
      </bottom>
      <diagonal/>
    </border>
    <border>
      <left style="medium">
        <color auto="1"/>
      </left>
      <right style="medium">
        <color auto="1"/>
      </right>
      <top style="medium">
        <color auto="1"/>
      </top>
      <bottom/>
      <diagonal/>
    </border>
    <border>
      <left style="hair">
        <color indexed="64"/>
      </left>
      <right style="hair">
        <color indexed="64"/>
      </right>
      <top style="thin">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s>
  <cellStyleXfs count="7">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6" fontId="1" fillId="0" borderId="0" applyFont="0" applyFill="0" applyBorder="0" applyAlignment="0" applyProtection="0">
      <alignment vertical="center"/>
    </xf>
    <xf numFmtId="0" fontId="24" fillId="0" borderId="0"/>
    <xf numFmtId="38" fontId="24" fillId="0" borderId="0" applyFont="0" applyFill="0" applyBorder="0" applyAlignment="0" applyProtection="0">
      <alignment vertical="center"/>
    </xf>
  </cellStyleXfs>
  <cellXfs count="438">
    <xf numFmtId="0" fontId="0" fillId="0" borderId="0" xfId="0">
      <alignment vertical="center"/>
    </xf>
    <xf numFmtId="38" fontId="6" fillId="0" borderId="0" xfId="1" applyFont="1" applyAlignment="1" applyProtection="1">
      <alignment horizontal="center" vertical="center" shrinkToFit="1"/>
    </xf>
    <xf numFmtId="0" fontId="7" fillId="2" borderId="3" xfId="1" applyNumberFormat="1" applyFont="1" applyFill="1" applyBorder="1" applyAlignment="1" applyProtection="1">
      <alignment horizontal="center" vertical="center" shrinkToFit="1"/>
    </xf>
    <xf numFmtId="38" fontId="3" fillId="0" borderId="0" xfId="1" applyFont="1" applyAlignment="1" applyProtection="1">
      <alignment horizontal="center" vertical="center" shrinkToFit="1"/>
    </xf>
    <xf numFmtId="38" fontId="3" fillId="2" borderId="3" xfId="1" applyFont="1" applyFill="1" applyBorder="1" applyAlignment="1" applyProtection="1">
      <alignment horizontal="left" vertical="center" shrinkToFit="1"/>
    </xf>
    <xf numFmtId="38" fontId="3" fillId="0" borderId="3" xfId="1" applyFont="1" applyBorder="1" applyAlignment="1" applyProtection="1">
      <alignment horizontal="right" vertical="center" shrinkToFit="1"/>
      <protection locked="0"/>
    </xf>
    <xf numFmtId="38" fontId="3" fillId="0" borderId="3" xfId="1" applyFont="1" applyFill="1" applyBorder="1" applyAlignment="1" applyProtection="1">
      <alignment horizontal="right" vertical="center" shrinkToFit="1"/>
      <protection locked="0"/>
    </xf>
    <xf numFmtId="38" fontId="3" fillId="2" borderId="4" xfId="1" applyFont="1" applyFill="1" applyBorder="1" applyAlignment="1" applyProtection="1">
      <alignment horizontal="left" vertical="center" shrinkToFit="1"/>
    </xf>
    <xf numFmtId="38" fontId="3" fillId="4" borderId="0" xfId="1" applyFont="1" applyFill="1" applyAlignment="1" applyProtection="1">
      <alignment vertical="center"/>
    </xf>
    <xf numFmtId="38" fontId="3" fillId="2" borderId="2" xfId="1" applyFont="1" applyFill="1" applyBorder="1" applyAlignment="1" applyProtection="1">
      <alignment horizontal="right" vertical="center" shrinkToFit="1"/>
    </xf>
    <xf numFmtId="38" fontId="3" fillId="4" borderId="0" xfId="1" applyFont="1" applyFill="1" applyAlignment="1" applyProtection="1">
      <alignment vertical="center" shrinkToFit="1"/>
    </xf>
    <xf numFmtId="38" fontId="3" fillId="2" borderId="13" xfId="1" applyFont="1" applyFill="1" applyBorder="1" applyAlignment="1" applyProtection="1">
      <alignment vertical="center" shrinkToFit="1"/>
    </xf>
    <xf numFmtId="38" fontId="3" fillId="2" borderId="2" xfId="1" applyFont="1" applyFill="1" applyBorder="1" applyAlignment="1" applyProtection="1">
      <alignment vertical="center" shrinkToFit="1"/>
    </xf>
    <xf numFmtId="38" fontId="3" fillId="5" borderId="2" xfId="1" applyFont="1" applyFill="1" applyBorder="1" applyAlignment="1" applyProtection="1">
      <alignment horizontal="center" vertical="center"/>
    </xf>
    <xf numFmtId="38" fontId="10" fillId="5" borderId="2" xfId="1" applyFont="1" applyFill="1" applyBorder="1" applyAlignment="1" applyProtection="1">
      <alignment horizontal="center" vertical="center"/>
    </xf>
    <xf numFmtId="40" fontId="3" fillId="4" borderId="5" xfId="1" applyNumberFormat="1" applyFont="1" applyFill="1" applyBorder="1" applyAlignment="1" applyProtection="1">
      <alignment horizontal="center" vertical="center" shrinkToFit="1"/>
    </xf>
    <xf numFmtId="40" fontId="3" fillId="4" borderId="23" xfId="1" applyNumberFormat="1" applyFont="1" applyFill="1" applyBorder="1" applyAlignment="1" applyProtection="1">
      <alignment horizontal="center" vertical="center" shrinkToFit="1"/>
    </xf>
    <xf numFmtId="40" fontId="3" fillId="4" borderId="0" xfId="1" applyNumberFormat="1" applyFont="1" applyFill="1" applyBorder="1" applyAlignment="1" applyProtection="1">
      <alignment horizontal="center" vertical="center" shrinkToFit="1"/>
    </xf>
    <xf numFmtId="40" fontId="3" fillId="4" borderId="28" xfId="1" applyNumberFormat="1" applyFont="1" applyFill="1" applyBorder="1" applyAlignment="1" applyProtection="1">
      <alignment horizontal="center" vertical="center" shrinkToFit="1"/>
    </xf>
    <xf numFmtId="40" fontId="3" fillId="4" borderId="0" xfId="1" applyNumberFormat="1" applyFont="1" applyFill="1" applyAlignment="1" applyProtection="1">
      <alignment vertical="center" shrinkToFit="1"/>
    </xf>
    <xf numFmtId="38" fontId="3" fillId="4" borderId="0" xfId="1" applyFont="1" applyFill="1" applyBorder="1" applyAlignment="1" applyProtection="1">
      <alignment vertical="center" shrinkToFit="1"/>
    </xf>
    <xf numFmtId="38" fontId="9" fillId="0" borderId="0" xfId="1" applyFont="1" applyFill="1" applyAlignment="1" applyProtection="1">
      <alignment vertical="center" shrinkToFit="1"/>
    </xf>
    <xf numFmtId="0" fontId="3" fillId="5" borderId="21" xfId="1" applyNumberFormat="1" applyFont="1" applyFill="1" applyBorder="1" applyAlignment="1" applyProtection="1">
      <alignment horizontal="center" vertical="center" shrinkToFit="1"/>
    </xf>
    <xf numFmtId="38" fontId="3" fillId="5" borderId="21" xfId="1" applyFont="1" applyFill="1" applyBorder="1" applyAlignment="1" applyProtection="1">
      <alignment horizontal="center" vertical="center" shrinkToFit="1"/>
    </xf>
    <xf numFmtId="38" fontId="3" fillId="0" borderId="0" xfId="1" applyFont="1" applyFill="1" applyBorder="1" applyAlignment="1" applyProtection="1">
      <alignment horizontal="center" vertical="center" shrinkToFit="1"/>
    </xf>
    <xf numFmtId="38" fontId="9" fillId="0" borderId="0" xfId="1" applyFont="1" applyFill="1" applyBorder="1" applyAlignment="1" applyProtection="1">
      <alignment horizontal="center" vertical="center" shrinkToFit="1"/>
    </xf>
    <xf numFmtId="38" fontId="8" fillId="0" borderId="0" xfId="2" applyNumberFormat="1" applyFont="1" applyFill="1" applyBorder="1" applyAlignment="1" applyProtection="1">
      <alignment vertical="center" shrinkToFit="1"/>
    </xf>
    <xf numFmtId="0" fontId="8" fillId="0" borderId="0" xfId="2" applyNumberFormat="1" applyFont="1" applyFill="1" applyBorder="1" applyAlignment="1" applyProtection="1">
      <alignment vertical="center" shrinkToFit="1"/>
    </xf>
    <xf numFmtId="38" fontId="3" fillId="6" borderId="3" xfId="1" applyFont="1" applyFill="1" applyBorder="1" applyAlignment="1" applyProtection="1">
      <alignment horizontal="left" vertical="center" shrinkToFit="1"/>
    </xf>
    <xf numFmtId="38" fontId="11" fillId="4" borderId="0" xfId="1" applyFont="1" applyFill="1" applyAlignment="1" applyProtection="1">
      <alignment vertical="center"/>
    </xf>
    <xf numFmtId="38" fontId="9" fillId="4" borderId="0" xfId="1" applyFont="1" applyFill="1" applyAlignment="1" applyProtection="1">
      <alignment horizontal="left" vertical="center" shrinkToFit="1"/>
    </xf>
    <xf numFmtId="38" fontId="9" fillId="0" borderId="17" xfId="1" applyFont="1" applyFill="1" applyBorder="1" applyAlignment="1" applyProtection="1">
      <alignment horizontal="center" vertical="center" shrinkToFit="1"/>
    </xf>
    <xf numFmtId="38" fontId="9" fillId="4" borderId="0" xfId="1" applyFont="1" applyFill="1" applyBorder="1" applyAlignment="1" applyProtection="1">
      <alignment horizontal="left" vertical="center" shrinkToFit="1"/>
    </xf>
    <xf numFmtId="38" fontId="3" fillId="0" borderId="0" xfId="1" applyFont="1" applyAlignment="1" applyProtection="1">
      <alignment horizontal="right" vertical="center"/>
    </xf>
    <xf numFmtId="0" fontId="0" fillId="0" borderId="0" xfId="0" applyAlignment="1">
      <alignment horizontal="center" vertical="center"/>
    </xf>
    <xf numFmtId="0" fontId="13" fillId="0" borderId="0" xfId="0" applyFont="1" applyAlignment="1"/>
    <xf numFmtId="0" fontId="13" fillId="0" borderId="0" xfId="0" applyFont="1" applyAlignment="1">
      <alignment horizontal="right"/>
    </xf>
    <xf numFmtId="0" fontId="13" fillId="0" borderId="0" xfId="0" applyFont="1" applyAlignment="1">
      <alignment horizontal="center"/>
    </xf>
    <xf numFmtId="0" fontId="13" fillId="0" borderId="0" xfId="0" applyFont="1">
      <alignment vertical="center"/>
    </xf>
    <xf numFmtId="181" fontId="15" fillId="0" borderId="54" xfId="0" applyNumberFormat="1" applyFont="1" applyBorder="1" applyAlignment="1">
      <alignment horizontal="right" vertical="center"/>
    </xf>
    <xf numFmtId="181" fontId="15" fillId="0" borderId="55" xfId="0" applyNumberFormat="1" applyFont="1" applyBorder="1" applyAlignment="1">
      <alignment horizontal="right" vertical="center"/>
    </xf>
    <xf numFmtId="181" fontId="15" fillId="0" borderId="56" xfId="0" applyNumberFormat="1" applyFont="1" applyBorder="1" applyAlignment="1">
      <alignment horizontal="right" vertical="center"/>
    </xf>
    <xf numFmtId="181" fontId="15" fillId="0" borderId="57" xfId="0" applyNumberFormat="1" applyFont="1" applyBorder="1" applyAlignment="1">
      <alignment horizontal="right" vertical="center"/>
    </xf>
    <xf numFmtId="181" fontId="15" fillId="0" borderId="58" xfId="0" applyNumberFormat="1" applyFont="1" applyBorder="1" applyAlignment="1">
      <alignment horizontal="right" vertical="center"/>
    </xf>
    <xf numFmtId="181" fontId="15" fillId="0" borderId="59" xfId="0" applyNumberFormat="1" applyFont="1" applyBorder="1" applyAlignment="1">
      <alignment horizontal="right" vertical="center"/>
    </xf>
    <xf numFmtId="0" fontId="16" fillId="0" borderId="14" xfId="0" applyFont="1" applyBorder="1">
      <alignment vertical="center"/>
    </xf>
    <xf numFmtId="0" fontId="16" fillId="0" borderId="56" xfId="0" applyFont="1" applyBorder="1">
      <alignment vertical="center"/>
    </xf>
    <xf numFmtId="181" fontId="15" fillId="0" borderId="60" xfId="0" applyNumberFormat="1" applyFont="1" applyBorder="1" applyAlignment="1">
      <alignment horizontal="right" vertical="center"/>
    </xf>
    <xf numFmtId="181" fontId="15" fillId="0" borderId="61" xfId="0" applyNumberFormat="1" applyFont="1" applyBorder="1" applyAlignment="1">
      <alignment horizontal="right" vertical="center"/>
    </xf>
    <xf numFmtId="181" fontId="15" fillId="0" borderId="3" xfId="0" applyNumberFormat="1" applyFont="1" applyBorder="1" applyAlignment="1">
      <alignment horizontal="right" vertical="center"/>
    </xf>
    <xf numFmtId="181" fontId="15" fillId="0" borderId="1" xfId="0" applyNumberFormat="1" applyFont="1" applyBorder="1" applyAlignment="1">
      <alignment horizontal="right" vertical="center"/>
    </xf>
    <xf numFmtId="181" fontId="15" fillId="0" borderId="62" xfId="0" applyNumberFormat="1" applyFont="1" applyBorder="1" applyAlignment="1">
      <alignment horizontal="right" vertical="center"/>
    </xf>
    <xf numFmtId="181" fontId="15" fillId="0" borderId="63" xfId="0" applyNumberFormat="1" applyFont="1" applyBorder="1" applyAlignment="1">
      <alignment horizontal="right" vertical="center"/>
    </xf>
    <xf numFmtId="0" fontId="16" fillId="0" borderId="3" xfId="0" applyFont="1" applyBorder="1">
      <alignment vertical="center"/>
    </xf>
    <xf numFmtId="181" fontId="15" fillId="0" borderId="64" xfId="0" applyNumberFormat="1" applyFont="1" applyBorder="1" applyAlignment="1">
      <alignment horizontal="right" vertical="center"/>
    </xf>
    <xf numFmtId="181" fontId="15" fillId="0" borderId="65" xfId="0" applyNumberFormat="1" applyFont="1" applyBorder="1" applyAlignment="1">
      <alignment horizontal="right" vertical="center"/>
    </xf>
    <xf numFmtId="181" fontId="15" fillId="0" borderId="14" xfId="0" applyNumberFormat="1" applyFont="1" applyBorder="1" applyAlignment="1">
      <alignment horizontal="right" vertical="center"/>
    </xf>
    <xf numFmtId="181" fontId="15" fillId="0" borderId="66" xfId="0" applyNumberFormat="1" applyFont="1" applyBorder="1" applyAlignment="1">
      <alignment horizontal="right" vertical="center"/>
    </xf>
    <xf numFmtId="181" fontId="15" fillId="0" borderId="67" xfId="0" applyNumberFormat="1" applyFont="1" applyBorder="1" applyAlignment="1">
      <alignment horizontal="right" vertical="center"/>
    </xf>
    <xf numFmtId="181" fontId="15" fillId="0" borderId="68" xfId="0" applyNumberFormat="1" applyFont="1" applyBorder="1" applyAlignment="1">
      <alignment horizontal="right" vertical="center"/>
    </xf>
    <xf numFmtId="181" fontId="15" fillId="0" borderId="69" xfId="0" applyNumberFormat="1" applyFont="1" applyBorder="1" applyAlignment="1">
      <alignment horizontal="right" vertical="center"/>
    </xf>
    <xf numFmtId="181" fontId="15" fillId="0" borderId="70" xfId="0" applyNumberFormat="1" applyFont="1" applyBorder="1" applyAlignment="1">
      <alignment horizontal="right" vertical="center"/>
    </xf>
    <xf numFmtId="181" fontId="15" fillId="0" borderId="5" xfId="0" applyNumberFormat="1" applyFont="1" applyBorder="1" applyAlignment="1">
      <alignment horizontal="right" vertical="center"/>
    </xf>
    <xf numFmtId="181" fontId="15" fillId="0" borderId="32" xfId="0" applyNumberFormat="1" applyFont="1" applyBorder="1" applyAlignment="1">
      <alignment horizontal="right" vertical="center"/>
    </xf>
    <xf numFmtId="181" fontId="15" fillId="0" borderId="71" xfId="0" applyNumberFormat="1" applyFont="1" applyBorder="1" applyAlignment="1">
      <alignment horizontal="right" vertical="center"/>
    </xf>
    <xf numFmtId="181" fontId="15" fillId="0" borderId="72" xfId="0" applyNumberFormat="1" applyFont="1" applyBorder="1" applyAlignment="1">
      <alignment horizontal="right" vertical="center"/>
    </xf>
    <xf numFmtId="0" fontId="16" fillId="0" borderId="5" xfId="0" applyFont="1" applyBorder="1">
      <alignment vertical="center"/>
    </xf>
    <xf numFmtId="181" fontId="15" fillId="0" borderId="73" xfId="0" applyNumberFormat="1" applyFont="1" applyBorder="1" applyAlignment="1">
      <alignment horizontal="right" vertical="center"/>
    </xf>
    <xf numFmtId="181" fontId="15" fillId="0" borderId="74" xfId="0" applyNumberFormat="1" applyFont="1" applyBorder="1" applyAlignment="1">
      <alignment horizontal="right" vertical="center"/>
    </xf>
    <xf numFmtId="181" fontId="15" fillId="0" borderId="75" xfId="0" applyNumberFormat="1" applyFont="1" applyBorder="1" applyAlignment="1">
      <alignment horizontal="right" vertical="center"/>
    </xf>
    <xf numFmtId="181" fontId="15" fillId="0" borderId="76" xfId="0" applyNumberFormat="1" applyFont="1" applyBorder="1" applyAlignment="1">
      <alignment horizontal="right" vertical="center"/>
    </xf>
    <xf numFmtId="181" fontId="15" fillId="0" borderId="77" xfId="0" applyNumberFormat="1" applyFont="1" applyBorder="1" applyAlignment="1">
      <alignment horizontal="right" vertical="center"/>
    </xf>
    <xf numFmtId="181" fontId="15" fillId="0" borderId="78" xfId="0" applyNumberFormat="1" applyFont="1" applyBorder="1" applyAlignment="1">
      <alignment horizontal="right" vertical="center"/>
    </xf>
    <xf numFmtId="0" fontId="16" fillId="0" borderId="75" xfId="0" applyFont="1" applyBorder="1">
      <alignment vertical="center"/>
    </xf>
    <xf numFmtId="181" fontId="15" fillId="0" borderId="79" xfId="0" applyNumberFormat="1" applyFont="1" applyBorder="1" applyAlignment="1">
      <alignment horizontal="right" vertical="center"/>
    </xf>
    <xf numFmtId="181" fontId="15" fillId="0" borderId="80" xfId="0" applyNumberFormat="1" applyFont="1" applyBorder="1" applyAlignment="1">
      <alignment horizontal="right" vertical="center"/>
    </xf>
    <xf numFmtId="181" fontId="15" fillId="0" borderId="0" xfId="0" applyNumberFormat="1" applyFont="1" applyAlignment="1">
      <alignment horizontal="right" vertical="center"/>
    </xf>
    <xf numFmtId="181" fontId="15" fillId="0" borderId="25" xfId="0" applyNumberFormat="1" applyFont="1" applyBorder="1" applyAlignment="1">
      <alignment horizontal="right" vertical="center"/>
    </xf>
    <xf numFmtId="181" fontId="15" fillId="0" borderId="81" xfId="0" applyNumberFormat="1" applyFont="1" applyBorder="1" applyAlignment="1">
      <alignment horizontal="right" vertical="center"/>
    </xf>
    <xf numFmtId="181" fontId="15" fillId="0" borderId="82" xfId="0" applyNumberFormat="1" applyFont="1" applyBorder="1" applyAlignment="1">
      <alignment horizontal="right" vertical="center"/>
    </xf>
    <xf numFmtId="0" fontId="16" fillId="0" borderId="0" xfId="0" applyFont="1">
      <alignment vertical="center"/>
    </xf>
    <xf numFmtId="181" fontId="15" fillId="0" borderId="83" xfId="0" applyNumberFormat="1" applyFont="1" applyBorder="1" applyAlignment="1">
      <alignment horizontal="right" vertical="center"/>
    </xf>
    <xf numFmtId="181" fontId="15" fillId="0" borderId="84" xfId="0" applyNumberFormat="1" applyFont="1" applyBorder="1" applyAlignment="1">
      <alignment horizontal="right" vertical="center"/>
    </xf>
    <xf numFmtId="181" fontId="15" fillId="0" borderId="85" xfId="0" applyNumberFormat="1" applyFont="1" applyBorder="1" applyAlignment="1">
      <alignment horizontal="right" vertical="center"/>
    </xf>
    <xf numFmtId="181" fontId="15" fillId="0" borderId="86" xfId="0" applyNumberFormat="1" applyFont="1" applyBorder="1" applyAlignment="1">
      <alignment horizontal="right" vertical="center"/>
    </xf>
    <xf numFmtId="181" fontId="15" fillId="0" borderId="87" xfId="0" applyNumberFormat="1" applyFont="1" applyBorder="1" applyAlignment="1">
      <alignment horizontal="right" vertical="center"/>
    </xf>
    <xf numFmtId="181" fontId="15" fillId="0" borderId="88" xfId="0" applyNumberFormat="1" applyFont="1" applyBorder="1" applyAlignment="1">
      <alignment horizontal="right" vertical="center"/>
    </xf>
    <xf numFmtId="0" fontId="16" fillId="0" borderId="85" xfId="0" applyFont="1" applyBorder="1">
      <alignment vertical="center"/>
    </xf>
    <xf numFmtId="0" fontId="16" fillId="0" borderId="5" xfId="0" applyFont="1" applyBorder="1" applyAlignment="1">
      <alignment vertical="center" wrapText="1"/>
    </xf>
    <xf numFmtId="0" fontId="16" fillId="0" borderId="3" xfId="0" applyFont="1" applyBorder="1" applyAlignment="1">
      <alignment vertical="center" wrapText="1"/>
    </xf>
    <xf numFmtId="0" fontId="16" fillId="0" borderId="14" xfId="0" applyFont="1" applyBorder="1" applyAlignment="1">
      <alignment vertical="center" wrapText="1"/>
    </xf>
    <xf numFmtId="0" fontId="16" fillId="0" borderId="56" xfId="0" applyFont="1" applyBorder="1" applyAlignment="1">
      <alignment vertical="center" wrapText="1"/>
    </xf>
    <xf numFmtId="181" fontId="15" fillId="0" borderId="89" xfId="0" applyNumberFormat="1" applyFont="1" applyBorder="1" applyAlignment="1">
      <alignment horizontal="right" vertical="center"/>
    </xf>
    <xf numFmtId="0" fontId="15" fillId="0" borderId="63" xfId="0" quotePrefix="1" applyFont="1" applyBorder="1" applyAlignment="1">
      <alignment horizontal="right" vertical="center"/>
    </xf>
    <xf numFmtId="181" fontId="15" fillId="0" borderId="68" xfId="0" applyNumberFormat="1" applyFont="1" applyBorder="1">
      <alignment vertical="center"/>
    </xf>
    <xf numFmtId="0" fontId="16" fillId="0" borderId="85" xfId="0" applyFont="1" applyBorder="1" applyAlignment="1">
      <alignment vertical="center" wrapText="1"/>
    </xf>
    <xf numFmtId="181" fontId="15" fillId="0" borderId="64" xfId="0" applyNumberFormat="1" applyFont="1" applyBorder="1">
      <alignment vertical="center"/>
    </xf>
    <xf numFmtId="181" fontId="15" fillId="0" borderId="69" xfId="0" applyNumberFormat="1" applyFont="1" applyBorder="1">
      <alignment vertical="center"/>
    </xf>
    <xf numFmtId="0" fontId="17" fillId="0" borderId="78" xfId="0" applyFont="1" applyBorder="1" applyAlignment="1">
      <alignment horizontal="center" vertical="center"/>
    </xf>
    <xf numFmtId="0" fontId="18" fillId="0" borderId="79" xfId="0" applyFont="1" applyBorder="1" applyAlignment="1">
      <alignment horizontal="center"/>
    </xf>
    <xf numFmtId="0" fontId="19" fillId="0" borderId="0" xfId="0" applyFont="1" applyAlignment="1"/>
    <xf numFmtId="38" fontId="3" fillId="5" borderId="11" xfId="1" applyFont="1" applyFill="1" applyBorder="1" applyAlignment="1" applyProtection="1">
      <alignment vertical="center" shrinkToFit="1"/>
    </xf>
    <xf numFmtId="38" fontId="3" fillId="5" borderId="22" xfId="1" applyFont="1" applyFill="1" applyBorder="1" applyAlignment="1" applyProtection="1">
      <alignment vertical="center" shrinkToFit="1"/>
    </xf>
    <xf numFmtId="38" fontId="3" fillId="5" borderId="17" xfId="1" applyFont="1" applyFill="1" applyBorder="1" applyAlignment="1" applyProtection="1">
      <alignment vertical="center" shrinkToFit="1"/>
    </xf>
    <xf numFmtId="38" fontId="3" fillId="5" borderId="26" xfId="1" applyFont="1" applyFill="1" applyBorder="1" applyAlignment="1" applyProtection="1">
      <alignment vertical="center" shrinkToFit="1"/>
    </xf>
    <xf numFmtId="38" fontId="20" fillId="2" borderId="37" xfId="1" applyFont="1" applyFill="1" applyBorder="1" applyAlignment="1" applyProtection="1">
      <alignment horizontal="center" vertical="center" wrapText="1" shrinkToFit="1"/>
    </xf>
    <xf numFmtId="38" fontId="7" fillId="2" borderId="31" xfId="1" applyFont="1" applyFill="1" applyBorder="1" applyAlignment="1" applyProtection="1">
      <alignment horizontal="center" vertical="center" wrapText="1" shrinkToFit="1"/>
    </xf>
    <xf numFmtId="38" fontId="7" fillId="2" borderId="46" xfId="1" applyFont="1" applyFill="1" applyBorder="1" applyAlignment="1" applyProtection="1">
      <alignment horizontal="center" vertical="center" wrapText="1" shrinkToFit="1"/>
    </xf>
    <xf numFmtId="38" fontId="1" fillId="0" borderId="0" xfId="1" applyFont="1" applyAlignment="1" applyProtection="1">
      <alignment vertical="center" shrinkToFit="1"/>
    </xf>
    <xf numFmtId="38" fontId="1" fillId="4" borderId="0" xfId="1" applyFont="1" applyFill="1" applyAlignment="1" applyProtection="1">
      <alignment vertical="center" shrinkToFit="1"/>
    </xf>
    <xf numFmtId="38" fontId="22" fillId="0" borderId="0" xfId="1" applyFont="1" applyAlignment="1" applyProtection="1">
      <alignment vertical="center" shrinkToFit="1"/>
    </xf>
    <xf numFmtId="38" fontId="1" fillId="4" borderId="0" xfId="1" applyFont="1" applyFill="1" applyAlignment="1" applyProtection="1">
      <alignment horizontal="center" vertical="center" shrinkToFit="1"/>
    </xf>
    <xf numFmtId="179" fontId="3" fillId="2" borderId="4" xfId="1" applyNumberFormat="1" applyFont="1" applyFill="1" applyBorder="1" applyAlignment="1" applyProtection="1">
      <alignment horizontal="left" vertical="center" shrinkToFit="1"/>
    </xf>
    <xf numFmtId="38" fontId="1" fillId="5" borderId="11" xfId="1" applyFont="1" applyFill="1" applyBorder="1" applyAlignment="1" applyProtection="1">
      <alignment horizontal="center" vertical="center" shrinkToFit="1"/>
    </xf>
    <xf numFmtId="38" fontId="1" fillId="5" borderId="22" xfId="1" applyFont="1" applyFill="1" applyBorder="1" applyAlignment="1" applyProtection="1">
      <alignment horizontal="center" vertical="center" shrinkToFit="1"/>
    </xf>
    <xf numFmtId="38" fontId="1" fillId="5" borderId="17" xfId="1" applyFont="1" applyFill="1" applyBorder="1" applyAlignment="1" applyProtection="1">
      <alignment horizontal="center" vertical="center" shrinkToFit="1"/>
    </xf>
    <xf numFmtId="38" fontId="1" fillId="5" borderId="26" xfId="1" applyFont="1" applyFill="1" applyBorder="1" applyAlignment="1" applyProtection="1">
      <alignment horizontal="center" vertical="center" shrinkToFit="1"/>
    </xf>
    <xf numFmtId="20" fontId="1" fillId="4" borderId="0" xfId="1" applyNumberFormat="1" applyFont="1" applyFill="1" applyAlignment="1" applyProtection="1">
      <alignment vertical="center" shrinkToFit="1"/>
    </xf>
    <xf numFmtId="40" fontId="1" fillId="4" borderId="0" xfId="1" applyNumberFormat="1" applyFont="1" applyFill="1" applyAlignment="1" applyProtection="1">
      <alignment vertical="center" shrinkToFit="1"/>
    </xf>
    <xf numFmtId="38" fontId="1" fillId="0" borderId="0" xfId="1" applyFont="1" applyFill="1" applyBorder="1" applyAlignment="1" applyProtection="1">
      <alignment vertical="center" shrinkToFit="1"/>
    </xf>
    <xf numFmtId="10" fontId="1" fillId="0" borderId="0" xfId="2" applyNumberFormat="1" applyFont="1" applyFill="1" applyBorder="1" applyAlignment="1" applyProtection="1">
      <alignment vertical="center" shrinkToFit="1"/>
    </xf>
    <xf numFmtId="176" fontId="23" fillId="4" borderId="0" xfId="1" applyNumberFormat="1" applyFont="1" applyFill="1" applyBorder="1" applyAlignment="1" applyProtection="1">
      <alignment horizontal="center" vertical="center" shrinkToFit="1"/>
    </xf>
    <xf numFmtId="176" fontId="23" fillId="4" borderId="17" xfId="1" applyNumberFormat="1" applyFont="1" applyFill="1" applyBorder="1" applyAlignment="1" applyProtection="1">
      <alignment horizontal="center" vertical="center" shrinkToFit="1"/>
    </xf>
    <xf numFmtId="0" fontId="24" fillId="0" borderId="0" xfId="5" applyAlignment="1">
      <alignment vertical="center"/>
    </xf>
    <xf numFmtId="0" fontId="25" fillId="0" borderId="0" xfId="5" applyFont="1" applyAlignment="1">
      <alignment vertical="center"/>
    </xf>
    <xf numFmtId="184" fontId="25" fillId="0" borderId="93" xfId="5" applyNumberFormat="1" applyFont="1" applyBorder="1" applyAlignment="1">
      <alignment vertical="center"/>
    </xf>
    <xf numFmtId="185" fontId="25" fillId="0" borderId="79" xfId="6" applyNumberFormat="1" applyFont="1" applyBorder="1">
      <alignment vertical="center"/>
    </xf>
    <xf numFmtId="38" fontId="25" fillId="0" borderId="79" xfId="6" applyFont="1" applyBorder="1">
      <alignment vertical="center"/>
    </xf>
    <xf numFmtId="185" fontId="25" fillId="0" borderId="94" xfId="6" applyNumberFormat="1" applyFont="1" applyBorder="1">
      <alignment vertical="center"/>
    </xf>
    <xf numFmtId="0" fontId="25" fillId="0" borderId="95" xfId="5" applyFont="1" applyBorder="1" applyAlignment="1">
      <alignment vertical="center" wrapText="1"/>
    </xf>
    <xf numFmtId="0" fontId="26" fillId="0" borderId="0" xfId="5" applyFont="1" applyAlignment="1">
      <alignment vertical="center"/>
    </xf>
    <xf numFmtId="0" fontId="25" fillId="0" borderId="95" xfId="5" applyFont="1" applyBorder="1" applyAlignment="1">
      <alignment horizontal="center" vertical="center" wrapText="1"/>
    </xf>
    <xf numFmtId="0" fontId="27" fillId="0" borderId="0" xfId="5" applyFont="1" applyAlignment="1">
      <alignment vertical="center"/>
    </xf>
    <xf numFmtId="0" fontId="28" fillId="0" borderId="0" xfId="5" applyFont="1" applyAlignment="1">
      <alignment vertical="center"/>
    </xf>
    <xf numFmtId="0" fontId="24" fillId="0" borderId="0" xfId="5" applyAlignment="1">
      <alignment horizontal="left" vertical="center"/>
    </xf>
    <xf numFmtId="0" fontId="25" fillId="0" borderId="89" xfId="5" applyFont="1" applyBorder="1" applyAlignment="1">
      <alignment horizontal="left" vertical="center"/>
    </xf>
    <xf numFmtId="0" fontId="25" fillId="0" borderId="93" xfId="5" applyFont="1" applyBorder="1" applyAlignment="1">
      <alignment horizontal="left" vertical="center"/>
    </xf>
    <xf numFmtId="0" fontId="25" fillId="0" borderId="82" xfId="5" applyFont="1" applyBorder="1" applyAlignment="1">
      <alignment horizontal="left" vertical="center"/>
    </xf>
    <xf numFmtId="38" fontId="3" fillId="5" borderId="10" xfId="1" applyFont="1" applyFill="1" applyBorder="1" applyAlignment="1" applyProtection="1">
      <alignment horizontal="center" vertical="center" shrinkToFit="1"/>
    </xf>
    <xf numFmtId="38" fontId="1" fillId="5" borderId="21" xfId="1" applyFont="1" applyFill="1" applyBorder="1" applyAlignment="1" applyProtection="1">
      <alignment horizontal="center" vertical="center" shrinkToFit="1"/>
    </xf>
    <xf numFmtId="38" fontId="1" fillId="5" borderId="16" xfId="1" applyFont="1" applyFill="1" applyBorder="1" applyAlignment="1" applyProtection="1">
      <alignment horizontal="center" vertical="center" shrinkToFit="1"/>
    </xf>
    <xf numFmtId="38" fontId="1" fillId="0" borderId="0" xfId="1" applyFont="1" applyAlignment="1" applyProtection="1">
      <alignment vertical="center" shrinkToFit="1"/>
      <protection locked="0"/>
    </xf>
    <xf numFmtId="38" fontId="3" fillId="5" borderId="5" xfId="1" applyFont="1" applyFill="1" applyBorder="1" applyAlignment="1" applyProtection="1">
      <alignment horizontal="center" vertical="center" shrinkToFit="1"/>
    </xf>
    <xf numFmtId="38" fontId="3" fillId="5" borderId="23" xfId="1" applyFont="1" applyFill="1" applyBorder="1" applyAlignment="1" applyProtection="1">
      <alignment horizontal="center" vertical="center" shrinkToFit="1"/>
    </xf>
    <xf numFmtId="38" fontId="3" fillId="5" borderId="0" xfId="1" applyFont="1" applyFill="1" applyBorder="1" applyAlignment="1" applyProtection="1">
      <alignment horizontal="center" vertical="center" shrinkToFit="1"/>
    </xf>
    <xf numFmtId="38" fontId="3" fillId="5" borderId="28" xfId="1" applyFont="1" applyFill="1" applyBorder="1" applyAlignment="1" applyProtection="1">
      <alignment horizontal="center" vertical="center" shrinkToFit="1"/>
    </xf>
    <xf numFmtId="0" fontId="25" fillId="0" borderId="82" xfId="5" applyFont="1" applyBorder="1" applyAlignment="1">
      <alignment horizontal="center" vertical="center"/>
    </xf>
    <xf numFmtId="0" fontId="25" fillId="0" borderId="93" xfId="5" applyFont="1" applyBorder="1" applyAlignment="1">
      <alignment horizontal="center" vertical="center"/>
    </xf>
    <xf numFmtId="38" fontId="21" fillId="0" borderId="0" xfId="1" applyFont="1" applyAlignment="1" applyProtection="1">
      <alignment horizontal="center" vertical="center" shrinkToFit="1"/>
    </xf>
    <xf numFmtId="38" fontId="3" fillId="2" borderId="1" xfId="1" applyFont="1" applyFill="1" applyBorder="1" applyAlignment="1" applyProtection="1">
      <alignment horizontal="center" vertical="center" shrinkToFit="1"/>
    </xf>
    <xf numFmtId="38" fontId="3" fillId="2" borderId="2" xfId="1" applyFont="1" applyFill="1" applyBorder="1" applyAlignment="1" applyProtection="1">
      <alignment horizontal="center" vertical="center" shrinkToFit="1"/>
    </xf>
    <xf numFmtId="0" fontId="0" fillId="0" borderId="2" xfId="0" applyBorder="1" applyAlignment="1" applyProtection="1">
      <alignment horizontal="center" vertical="center" shrinkToFit="1"/>
      <protection locked="0"/>
    </xf>
    <xf numFmtId="0" fontId="3" fillId="0" borderId="3" xfId="0" applyFont="1" applyBorder="1" applyAlignment="1" applyProtection="1">
      <alignment horizontal="center" vertical="center" shrinkToFit="1"/>
      <protection locked="0"/>
    </xf>
    <xf numFmtId="0" fontId="3" fillId="0" borderId="4" xfId="0" applyFont="1" applyBorder="1" applyAlignment="1" applyProtection="1">
      <alignment horizontal="center" vertical="center" shrinkToFit="1"/>
      <protection locked="0"/>
    </xf>
    <xf numFmtId="38" fontId="3" fillId="3" borderId="1" xfId="1" applyFont="1" applyFill="1" applyBorder="1" applyAlignment="1" applyProtection="1">
      <alignment horizontal="center" vertical="center" shrinkToFit="1"/>
    </xf>
    <xf numFmtId="38" fontId="3" fillId="3" borderId="2" xfId="1" applyFont="1" applyFill="1" applyBorder="1" applyAlignment="1" applyProtection="1">
      <alignment horizontal="center" vertical="center" shrinkToFit="1"/>
    </xf>
    <xf numFmtId="0" fontId="7" fillId="0" borderId="2" xfId="1" applyNumberFormat="1" applyFont="1" applyBorder="1" applyAlignment="1" applyProtection="1">
      <alignment horizontal="right" vertical="center" shrinkToFit="1"/>
      <protection locked="0"/>
    </xf>
    <xf numFmtId="0" fontId="7" fillId="0" borderId="3" xfId="1" applyNumberFormat="1" applyFont="1" applyBorder="1" applyAlignment="1" applyProtection="1">
      <alignment horizontal="right" vertical="center" shrinkToFit="1"/>
      <protection locked="0"/>
    </xf>
    <xf numFmtId="0" fontId="7" fillId="0" borderId="3" xfId="1" quotePrefix="1" applyNumberFormat="1" applyFont="1" applyBorder="1" applyAlignment="1" applyProtection="1">
      <alignment horizontal="left" vertical="center" shrinkToFit="1"/>
      <protection locked="0"/>
    </xf>
    <xf numFmtId="0" fontId="7" fillId="0" borderId="3" xfId="1" applyNumberFormat="1" applyFont="1" applyBorder="1" applyAlignment="1" applyProtection="1">
      <alignment horizontal="left" vertical="center" shrinkToFit="1"/>
      <protection locked="0"/>
    </xf>
    <xf numFmtId="0" fontId="7" fillId="0" borderId="4" xfId="1" applyNumberFormat="1" applyFont="1" applyBorder="1" applyAlignment="1" applyProtection="1">
      <alignment horizontal="left" vertical="center" shrinkToFit="1"/>
      <protection locked="0"/>
    </xf>
    <xf numFmtId="38" fontId="3" fillId="5" borderId="1" xfId="1" applyFont="1" applyFill="1" applyBorder="1" applyAlignment="1" applyProtection="1">
      <alignment horizontal="center" vertical="center" shrinkToFit="1"/>
    </xf>
    <xf numFmtId="38" fontId="3" fillId="5" borderId="2" xfId="1" applyFont="1" applyFill="1" applyBorder="1" applyAlignment="1" applyProtection="1">
      <alignment horizontal="center" vertical="center" shrinkToFit="1"/>
    </xf>
    <xf numFmtId="38" fontId="1" fillId="2" borderId="1" xfId="1" applyFont="1" applyFill="1" applyBorder="1" applyAlignment="1" applyProtection="1">
      <alignment horizontal="center" vertical="center" shrinkToFit="1"/>
    </xf>
    <xf numFmtId="38" fontId="1" fillId="0" borderId="2" xfId="1" applyFont="1" applyBorder="1" applyAlignment="1" applyProtection="1">
      <alignment horizontal="center" vertical="center" shrinkToFit="1"/>
      <protection locked="0"/>
    </xf>
    <xf numFmtId="38" fontId="3" fillId="0" borderId="3" xfId="1" applyFont="1" applyBorder="1" applyAlignment="1" applyProtection="1">
      <alignment horizontal="center" vertical="center" shrinkToFit="1"/>
      <protection locked="0"/>
    </xf>
    <xf numFmtId="38" fontId="1" fillId="2" borderId="2" xfId="1" applyFont="1" applyFill="1" applyBorder="1" applyAlignment="1" applyProtection="1">
      <alignment horizontal="center" vertical="center" shrinkToFit="1"/>
    </xf>
    <xf numFmtId="38" fontId="3" fillId="2" borderId="4" xfId="1" applyFont="1" applyFill="1" applyBorder="1" applyAlignment="1" applyProtection="1">
      <alignment horizontal="center" vertical="center" shrinkToFit="1"/>
    </xf>
    <xf numFmtId="49" fontId="3" fillId="0" borderId="2" xfId="1" applyNumberFormat="1" applyFont="1" applyFill="1" applyBorder="1" applyAlignment="1" applyProtection="1">
      <alignment horizontal="center" vertical="center" shrinkToFit="1"/>
      <protection locked="0"/>
    </xf>
    <xf numFmtId="49" fontId="3" fillId="0" borderId="4" xfId="1" applyNumberFormat="1" applyFont="1" applyFill="1" applyBorder="1" applyAlignment="1" applyProtection="1">
      <alignment horizontal="center" vertical="center" shrinkToFit="1"/>
      <protection locked="0"/>
    </xf>
    <xf numFmtId="14" fontId="7" fillId="0" borderId="1" xfId="1" applyNumberFormat="1" applyFont="1" applyBorder="1" applyAlignment="1" applyProtection="1">
      <alignment horizontal="center" vertical="center" shrinkToFit="1"/>
      <protection locked="0"/>
    </xf>
    <xf numFmtId="38" fontId="1" fillId="2" borderId="3" xfId="1" applyFont="1" applyFill="1" applyBorder="1" applyAlignment="1" applyProtection="1">
      <alignment horizontal="center" vertical="center" shrinkToFit="1"/>
    </xf>
    <xf numFmtId="38" fontId="1" fillId="2" borderId="4" xfId="1" applyFont="1" applyFill="1" applyBorder="1" applyAlignment="1" applyProtection="1">
      <alignment horizontal="center" vertical="center" shrinkToFit="1"/>
    </xf>
    <xf numFmtId="176" fontId="3" fillId="0" borderId="2" xfId="1" applyNumberFormat="1" applyFont="1" applyBorder="1" applyAlignment="1" applyProtection="1">
      <alignment horizontal="right" vertical="center" shrinkToFit="1"/>
      <protection locked="0"/>
    </xf>
    <xf numFmtId="176" fontId="3" fillId="0" borderId="3" xfId="1" applyNumberFormat="1" applyFont="1" applyBorder="1" applyAlignment="1" applyProtection="1">
      <alignment horizontal="right" vertical="center" shrinkToFit="1"/>
      <protection locked="0"/>
    </xf>
    <xf numFmtId="38" fontId="0" fillId="0" borderId="3" xfId="1" applyFont="1" applyBorder="1" applyAlignment="1" applyProtection="1">
      <alignment horizontal="left" vertical="center" shrinkToFit="1"/>
      <protection locked="0"/>
    </xf>
    <xf numFmtId="38" fontId="1" fillId="0" borderId="3" xfId="1" applyFont="1" applyBorder="1" applyAlignment="1" applyProtection="1">
      <alignment horizontal="left" vertical="center" shrinkToFit="1"/>
      <protection locked="0"/>
    </xf>
    <xf numFmtId="38" fontId="3" fillId="0" borderId="3" xfId="1" applyFont="1" applyBorder="1" applyAlignment="1" applyProtection="1">
      <alignment horizontal="left" vertical="center" shrinkToFit="1"/>
      <protection locked="0"/>
    </xf>
    <xf numFmtId="38" fontId="3" fillId="0" borderId="4" xfId="1" applyFont="1" applyBorder="1" applyAlignment="1" applyProtection="1">
      <alignment horizontal="left" vertical="center" shrinkToFit="1"/>
      <protection locked="0"/>
    </xf>
    <xf numFmtId="38" fontId="3" fillId="2" borderId="3" xfId="1" applyFont="1" applyFill="1" applyBorder="1" applyAlignment="1" applyProtection="1">
      <alignment horizontal="center" vertical="center" shrinkToFit="1"/>
    </xf>
    <xf numFmtId="38" fontId="0" fillId="0" borderId="2" xfId="1" applyFont="1" applyBorder="1" applyAlignment="1" applyProtection="1">
      <alignment horizontal="left" vertical="center" shrinkToFit="1"/>
      <protection locked="0"/>
    </xf>
    <xf numFmtId="38" fontId="1" fillId="0" borderId="4" xfId="1" applyFont="1" applyBorder="1" applyAlignment="1" applyProtection="1">
      <alignment horizontal="left" vertical="center" shrinkToFit="1"/>
      <protection locked="0"/>
    </xf>
    <xf numFmtId="38" fontId="0" fillId="0" borderId="2" xfId="1" applyFont="1" applyBorder="1" applyAlignment="1" applyProtection="1">
      <alignment horizontal="center" vertical="center" shrinkToFit="1"/>
      <protection locked="0"/>
    </xf>
    <xf numFmtId="38" fontId="3" fillId="0" borderId="4" xfId="1" applyFont="1" applyBorder="1" applyAlignment="1" applyProtection="1">
      <alignment horizontal="center" vertical="center" shrinkToFit="1"/>
      <protection locked="0"/>
    </xf>
    <xf numFmtId="38" fontId="0" fillId="0" borderId="2" xfId="1" applyFont="1" applyBorder="1" applyAlignment="1" applyProtection="1">
      <alignment vertical="center" shrinkToFit="1"/>
      <protection locked="0"/>
    </xf>
    <xf numFmtId="38" fontId="3" fillId="0" borderId="3" xfId="1" applyFont="1" applyBorder="1" applyAlignment="1" applyProtection="1">
      <alignment vertical="center" shrinkToFit="1"/>
      <protection locked="0"/>
    </xf>
    <xf numFmtId="38" fontId="3" fillId="0" borderId="4" xfId="1" applyFont="1" applyBorder="1" applyAlignment="1" applyProtection="1">
      <alignment vertical="center" shrinkToFit="1"/>
      <protection locked="0"/>
    </xf>
    <xf numFmtId="38" fontId="0" fillId="0" borderId="1" xfId="1" applyFont="1" applyBorder="1" applyAlignment="1" applyProtection="1">
      <alignment vertical="center" shrinkToFit="1"/>
      <protection locked="0"/>
    </xf>
    <xf numFmtId="38" fontId="1" fillId="0" borderId="1" xfId="1" applyFont="1" applyBorder="1" applyAlignment="1" applyProtection="1">
      <alignment vertical="center" shrinkToFit="1"/>
      <protection locked="0"/>
    </xf>
    <xf numFmtId="38" fontId="0" fillId="0" borderId="7" xfId="1" applyFont="1" applyBorder="1" applyAlignment="1" applyProtection="1">
      <alignment horizontal="center" vertical="center" shrinkToFit="1"/>
      <protection locked="0"/>
    </xf>
    <xf numFmtId="38" fontId="1" fillId="0" borderId="8" xfId="1" applyFont="1" applyBorder="1" applyAlignment="1" applyProtection="1">
      <alignment horizontal="center" vertical="center" shrinkToFit="1"/>
      <protection locked="0"/>
    </xf>
    <xf numFmtId="38" fontId="1" fillId="2" borderId="9" xfId="1" applyFont="1" applyFill="1" applyBorder="1" applyAlignment="1" applyProtection="1">
      <alignment horizontal="center" vertical="center" shrinkToFit="1"/>
    </xf>
    <xf numFmtId="38" fontId="1" fillId="2" borderId="7" xfId="1" applyFont="1" applyFill="1" applyBorder="1" applyAlignment="1" applyProtection="1">
      <alignment horizontal="center" vertical="center" shrinkToFit="1"/>
    </xf>
    <xf numFmtId="38" fontId="1" fillId="0" borderId="7" xfId="1" applyFont="1" applyBorder="1" applyAlignment="1" applyProtection="1">
      <alignment horizontal="center" vertical="center" shrinkToFit="1"/>
      <protection locked="0"/>
    </xf>
    <xf numFmtId="38" fontId="3" fillId="2" borderId="10" xfId="1" applyFont="1" applyFill="1" applyBorder="1" applyAlignment="1" applyProtection="1">
      <alignment horizontal="center" vertical="center" shrinkToFit="1"/>
    </xf>
    <xf numFmtId="38" fontId="3" fillId="2" borderId="5" xfId="1" applyFont="1" applyFill="1" applyBorder="1" applyAlignment="1" applyProtection="1">
      <alignment horizontal="center" vertical="center" shrinkToFit="1"/>
    </xf>
    <xf numFmtId="38" fontId="3" fillId="2" borderId="11" xfId="1" applyFont="1" applyFill="1" applyBorder="1" applyAlignment="1" applyProtection="1">
      <alignment horizontal="center" vertical="center" shrinkToFit="1"/>
    </xf>
    <xf numFmtId="38" fontId="3" fillId="2" borderId="13" xfId="1" applyFont="1" applyFill="1" applyBorder="1" applyAlignment="1" applyProtection="1">
      <alignment horizontal="center" vertical="center" shrinkToFit="1"/>
    </xf>
    <xf numFmtId="38" fontId="3" fillId="2" borderId="14" xfId="1" applyFont="1" applyFill="1" applyBorder="1" applyAlignment="1" applyProtection="1">
      <alignment horizontal="center" vertical="center" shrinkToFit="1"/>
    </xf>
    <xf numFmtId="38" fontId="3" fillId="2" borderId="15" xfId="1" applyFont="1" applyFill="1" applyBorder="1" applyAlignment="1" applyProtection="1">
      <alignment horizontal="center" vertical="center" shrinkToFit="1"/>
    </xf>
    <xf numFmtId="38" fontId="3" fillId="2" borderId="9" xfId="1" applyFont="1" applyFill="1" applyBorder="1" applyAlignment="1" applyProtection="1">
      <alignment horizontal="center" vertical="center" shrinkToFit="1"/>
    </xf>
    <xf numFmtId="38" fontId="3" fillId="2" borderId="7" xfId="1" applyFont="1" applyFill="1" applyBorder="1" applyAlignment="1" applyProtection="1">
      <alignment horizontal="center" vertical="center" shrinkToFit="1"/>
    </xf>
    <xf numFmtId="177" fontId="3" fillId="4" borderId="7" xfId="1" applyNumberFormat="1" applyFont="1" applyFill="1" applyBorder="1" applyAlignment="1" applyProtection="1">
      <alignment horizontal="right" vertical="center" shrinkToFit="1"/>
      <protection locked="0"/>
    </xf>
    <xf numFmtId="177" fontId="3" fillId="4" borderId="12" xfId="1" applyNumberFormat="1" applyFont="1" applyFill="1" applyBorder="1" applyAlignment="1" applyProtection="1">
      <alignment horizontal="right" vertical="center" shrinkToFit="1"/>
      <protection locked="0"/>
    </xf>
    <xf numFmtId="38" fontId="9" fillId="2" borderId="4" xfId="1" applyFont="1" applyFill="1" applyBorder="1" applyAlignment="1" applyProtection="1">
      <alignment horizontal="center" vertical="center" shrinkToFit="1"/>
    </xf>
    <xf numFmtId="38" fontId="9" fillId="2" borderId="1" xfId="1" applyFont="1" applyFill="1" applyBorder="1" applyAlignment="1" applyProtection="1">
      <alignment horizontal="center" vertical="center" shrinkToFit="1"/>
    </xf>
    <xf numFmtId="38" fontId="3" fillId="0" borderId="12" xfId="1" applyFont="1" applyBorder="1" applyAlignment="1" applyProtection="1">
      <alignment horizontal="center" vertical="center" shrinkToFit="1"/>
      <protection locked="0"/>
    </xf>
    <xf numFmtId="38" fontId="3" fillId="2" borderId="6" xfId="1" applyFont="1" applyFill="1" applyBorder="1" applyAlignment="1" applyProtection="1">
      <alignment horizontal="center" vertical="center" shrinkToFit="1"/>
    </xf>
    <xf numFmtId="38" fontId="3" fillId="0" borderId="8" xfId="1" applyFont="1" applyBorder="1" applyAlignment="1" applyProtection="1">
      <alignment horizontal="center" vertical="center" shrinkToFit="1"/>
      <protection locked="0"/>
    </xf>
    <xf numFmtId="58" fontId="0" fillId="0" borderId="2" xfId="1" applyNumberFormat="1" applyFont="1" applyFill="1" applyBorder="1" applyAlignment="1" applyProtection="1">
      <alignment horizontal="center" vertical="center" shrinkToFit="1"/>
      <protection locked="0"/>
    </xf>
    <xf numFmtId="58" fontId="3" fillId="0" borderId="3" xfId="1" applyNumberFormat="1" applyFont="1" applyFill="1" applyBorder="1" applyAlignment="1" applyProtection="1">
      <alignment horizontal="center" vertical="center" shrinkToFit="1"/>
      <protection locked="0"/>
    </xf>
    <xf numFmtId="58" fontId="3" fillId="0" borderId="4" xfId="1" applyNumberFormat="1" applyFont="1" applyFill="1" applyBorder="1" applyAlignment="1" applyProtection="1">
      <alignment horizontal="center" vertical="center" shrinkToFit="1"/>
      <protection locked="0"/>
    </xf>
    <xf numFmtId="40" fontId="3" fillId="5" borderId="2" xfId="1" applyNumberFormat="1" applyFont="1" applyFill="1" applyBorder="1" applyAlignment="1" applyProtection="1">
      <alignment horizontal="center" vertical="center" shrinkToFit="1"/>
    </xf>
    <xf numFmtId="40" fontId="3" fillId="5" borderId="3" xfId="1" applyNumberFormat="1" applyFont="1" applyFill="1" applyBorder="1" applyAlignment="1" applyProtection="1">
      <alignment horizontal="center" vertical="center" shrinkToFit="1"/>
    </xf>
    <xf numFmtId="38" fontId="3" fillId="0" borderId="2" xfId="1" applyFont="1" applyFill="1" applyBorder="1" applyAlignment="1" applyProtection="1">
      <alignment horizontal="center" vertical="center" shrinkToFit="1"/>
      <protection locked="0"/>
    </xf>
    <xf numFmtId="38" fontId="3" fillId="0" borderId="3" xfId="1" applyFont="1" applyFill="1" applyBorder="1" applyAlignment="1" applyProtection="1">
      <alignment horizontal="center" vertical="center" shrinkToFit="1"/>
      <protection locked="0"/>
    </xf>
    <xf numFmtId="38" fontId="3" fillId="0" borderId="4" xfId="1" applyFont="1" applyFill="1" applyBorder="1" applyAlignment="1" applyProtection="1">
      <alignment horizontal="center" vertical="center" shrinkToFit="1"/>
      <protection locked="0"/>
    </xf>
    <xf numFmtId="38" fontId="0" fillId="4" borderId="2" xfId="1" applyFont="1" applyFill="1" applyBorder="1" applyAlignment="1" applyProtection="1">
      <alignment horizontal="center" vertical="center" shrinkToFit="1"/>
      <protection locked="0"/>
    </xf>
    <xf numFmtId="38" fontId="3" fillId="4" borderId="3" xfId="1" applyFont="1" applyFill="1" applyBorder="1" applyAlignment="1" applyProtection="1">
      <alignment horizontal="center" vertical="center" shrinkToFit="1"/>
      <protection locked="0"/>
    </xf>
    <xf numFmtId="38" fontId="3" fillId="4" borderId="4" xfId="1" applyFont="1" applyFill="1" applyBorder="1" applyAlignment="1" applyProtection="1">
      <alignment horizontal="center" vertical="center" shrinkToFit="1"/>
      <protection locked="0"/>
    </xf>
    <xf numFmtId="38" fontId="0" fillId="4" borderId="3" xfId="1" applyFont="1" applyFill="1" applyBorder="1" applyAlignment="1" applyProtection="1">
      <alignment horizontal="center" vertical="center" shrinkToFit="1"/>
      <protection locked="0"/>
    </xf>
    <xf numFmtId="14" fontId="3" fillId="0" borderId="2" xfId="1" applyNumberFormat="1" applyFont="1" applyFill="1" applyBorder="1" applyAlignment="1" applyProtection="1">
      <alignment horizontal="center" vertical="center" shrinkToFit="1"/>
      <protection locked="0"/>
    </xf>
    <xf numFmtId="14" fontId="3" fillId="0" borderId="3" xfId="1" applyNumberFormat="1" applyFont="1" applyFill="1" applyBorder="1" applyAlignment="1" applyProtection="1">
      <alignment horizontal="center" vertical="center" shrinkToFit="1"/>
      <protection locked="0"/>
    </xf>
    <xf numFmtId="40" fontId="3" fillId="2" borderId="9" xfId="1" applyNumberFormat="1" applyFont="1" applyFill="1" applyBorder="1" applyAlignment="1" applyProtection="1">
      <alignment horizontal="center" vertical="center" shrinkToFit="1"/>
    </xf>
    <xf numFmtId="40" fontId="3" fillId="2" borderId="7" xfId="1" applyNumberFormat="1" applyFont="1" applyFill="1" applyBorder="1" applyAlignment="1" applyProtection="1">
      <alignment horizontal="center" vertical="center" shrinkToFit="1"/>
    </xf>
    <xf numFmtId="14" fontId="1" fillId="0" borderId="7" xfId="1" applyNumberFormat="1" applyFont="1" applyFill="1" applyBorder="1" applyAlignment="1" applyProtection="1">
      <alignment horizontal="center" vertical="center" shrinkToFit="1"/>
      <protection locked="0"/>
    </xf>
    <xf numFmtId="14" fontId="3" fillId="0" borderId="7" xfId="1" applyNumberFormat="1" applyFont="1" applyFill="1" applyBorder="1" applyAlignment="1" applyProtection="1">
      <alignment horizontal="center" vertical="center" shrinkToFit="1"/>
      <protection locked="0"/>
    </xf>
    <xf numFmtId="14" fontId="3" fillId="0" borderId="8" xfId="1" applyNumberFormat="1" applyFont="1" applyFill="1" applyBorder="1" applyAlignment="1" applyProtection="1">
      <alignment horizontal="center" vertical="center" shrinkToFit="1"/>
      <protection locked="0"/>
    </xf>
    <xf numFmtId="38" fontId="0" fillId="0" borderId="7" xfId="1" applyFont="1" applyFill="1" applyBorder="1" applyAlignment="1" applyProtection="1">
      <alignment horizontal="center" vertical="center" shrinkToFit="1"/>
      <protection locked="0"/>
    </xf>
    <xf numFmtId="38" fontId="3" fillId="0" borderId="7" xfId="1" applyFont="1" applyFill="1" applyBorder="1" applyAlignment="1" applyProtection="1">
      <alignment horizontal="center" vertical="center" shrinkToFit="1"/>
      <protection locked="0"/>
    </xf>
    <xf numFmtId="38" fontId="3" fillId="0" borderId="8" xfId="1" applyFont="1" applyFill="1" applyBorder="1" applyAlignment="1" applyProtection="1">
      <alignment horizontal="center" vertical="center" shrinkToFit="1"/>
      <protection locked="0"/>
    </xf>
    <xf numFmtId="20" fontId="3" fillId="4" borderId="18" xfId="1" applyNumberFormat="1" applyFont="1" applyFill="1" applyBorder="1" applyAlignment="1" applyProtection="1">
      <alignment horizontal="center" vertical="center" shrinkToFit="1"/>
      <protection locked="0"/>
    </xf>
    <xf numFmtId="20" fontId="3" fillId="4" borderId="19" xfId="1" applyNumberFormat="1" applyFont="1" applyFill="1" applyBorder="1" applyAlignment="1" applyProtection="1">
      <alignment horizontal="center" vertical="center" shrinkToFit="1"/>
      <protection locked="0"/>
    </xf>
    <xf numFmtId="0" fontId="3" fillId="4" borderId="10" xfId="1" applyNumberFormat="1" applyFont="1" applyFill="1" applyBorder="1" applyAlignment="1" applyProtection="1">
      <alignment vertical="center" shrinkToFit="1"/>
      <protection locked="0"/>
    </xf>
    <xf numFmtId="0" fontId="3" fillId="4" borderId="5" xfId="1" applyNumberFormat="1" applyFont="1" applyFill="1" applyBorder="1" applyAlignment="1" applyProtection="1">
      <alignment vertical="center" shrinkToFit="1"/>
      <protection locked="0"/>
    </xf>
    <xf numFmtId="40" fontId="3" fillId="4" borderId="20" xfId="1" applyNumberFormat="1" applyFont="1" applyFill="1" applyBorder="1" applyAlignment="1" applyProtection="1">
      <alignment vertical="center" shrinkToFit="1"/>
      <protection locked="0"/>
    </xf>
    <xf numFmtId="40" fontId="3" fillId="4" borderId="18" xfId="1" applyNumberFormat="1" applyFont="1" applyFill="1" applyBorder="1" applyAlignment="1" applyProtection="1">
      <alignment vertical="center" shrinkToFit="1"/>
      <protection locked="0"/>
    </xf>
    <xf numFmtId="40" fontId="3" fillId="4" borderId="10" xfId="1" applyNumberFormat="1" applyFont="1" applyFill="1" applyBorder="1" applyAlignment="1" applyProtection="1">
      <alignment vertical="center" shrinkToFit="1"/>
      <protection locked="0"/>
    </xf>
    <xf numFmtId="40" fontId="3" fillId="4" borderId="5" xfId="1" applyNumberFormat="1" applyFont="1" applyFill="1" applyBorder="1" applyAlignment="1" applyProtection="1">
      <alignment vertical="center" shrinkToFit="1"/>
      <protection locked="0"/>
    </xf>
    <xf numFmtId="38" fontId="3" fillId="4" borderId="10" xfId="1" applyFont="1" applyFill="1" applyBorder="1" applyAlignment="1" applyProtection="1">
      <alignment horizontal="right" vertical="center" shrinkToFit="1"/>
      <protection locked="0"/>
    </xf>
    <xf numFmtId="38" fontId="3" fillId="4" borderId="5" xfId="1" applyFont="1" applyFill="1" applyBorder="1" applyAlignment="1" applyProtection="1">
      <alignment horizontal="right" vertical="center" shrinkToFit="1"/>
      <protection locked="0"/>
    </xf>
    <xf numFmtId="38" fontId="3" fillId="4" borderId="20" xfId="1" applyFont="1" applyFill="1" applyBorder="1" applyAlignment="1" applyProtection="1">
      <alignment horizontal="center" vertical="center" shrinkToFit="1"/>
      <protection locked="0"/>
    </xf>
    <xf numFmtId="38" fontId="3" fillId="4" borderId="19" xfId="1" applyFont="1" applyFill="1" applyBorder="1" applyAlignment="1" applyProtection="1">
      <alignment horizontal="center" vertical="center" shrinkToFit="1"/>
      <protection locked="0"/>
    </xf>
    <xf numFmtId="38" fontId="9" fillId="5" borderId="2" xfId="1" applyFont="1" applyFill="1" applyBorder="1" applyAlignment="1" applyProtection="1">
      <alignment horizontal="center" vertical="center"/>
    </xf>
    <xf numFmtId="38" fontId="9" fillId="5" borderId="3" xfId="1" applyFont="1" applyFill="1" applyBorder="1" applyAlignment="1" applyProtection="1">
      <alignment horizontal="center" vertical="center"/>
    </xf>
    <xf numFmtId="38" fontId="0" fillId="0" borderId="3" xfId="1" applyFont="1" applyFill="1" applyBorder="1" applyAlignment="1" applyProtection="1">
      <alignment horizontal="center" vertical="center"/>
      <protection locked="0"/>
    </xf>
    <xf numFmtId="38" fontId="3" fillId="0" borderId="4" xfId="1" applyFont="1" applyFill="1" applyBorder="1" applyAlignment="1" applyProtection="1">
      <alignment horizontal="center" vertical="center"/>
      <protection locked="0"/>
    </xf>
    <xf numFmtId="38" fontId="3" fillId="2" borderId="16" xfId="1" applyFont="1" applyFill="1" applyBorder="1" applyAlignment="1" applyProtection="1">
      <alignment horizontal="center" vertical="center" shrinkToFit="1"/>
    </xf>
    <xf numFmtId="38" fontId="3" fillId="2" borderId="0" xfId="1" applyFont="1" applyFill="1" applyBorder="1" applyAlignment="1" applyProtection="1">
      <alignment horizontal="center" vertical="center" shrinkToFit="1"/>
    </xf>
    <xf numFmtId="38" fontId="3" fillId="2" borderId="17" xfId="1" applyFont="1" applyFill="1" applyBorder="1" applyAlignment="1" applyProtection="1">
      <alignment horizontal="center" vertical="center" shrinkToFit="1"/>
    </xf>
    <xf numFmtId="38" fontId="9" fillId="2" borderId="2" xfId="1" applyFont="1" applyFill="1" applyBorder="1" applyAlignment="1" applyProtection="1">
      <alignment horizontal="center" vertical="center" shrinkToFit="1"/>
    </xf>
    <xf numFmtId="178" fontId="3" fillId="4" borderId="14" xfId="1" applyNumberFormat="1" applyFont="1" applyFill="1" applyBorder="1" applyAlignment="1" applyProtection="1">
      <alignment horizontal="center" vertical="center" shrinkToFit="1"/>
      <protection locked="0"/>
    </xf>
    <xf numFmtId="178" fontId="3" fillId="4" borderId="15" xfId="1" applyNumberFormat="1" applyFont="1" applyFill="1" applyBorder="1" applyAlignment="1" applyProtection="1">
      <alignment horizontal="center" vertical="center" shrinkToFit="1"/>
      <protection locked="0"/>
    </xf>
    <xf numFmtId="178" fontId="3" fillId="5" borderId="3" xfId="1" applyNumberFormat="1" applyFont="1" applyFill="1" applyBorder="1" applyAlignment="1" applyProtection="1">
      <alignment horizontal="center" vertical="center" shrinkToFit="1"/>
    </xf>
    <xf numFmtId="38" fontId="3" fillId="0" borderId="3" xfId="1" applyFont="1" applyFill="1" applyBorder="1" applyAlignment="1" applyProtection="1">
      <alignment horizontal="center" vertical="center"/>
      <protection locked="0"/>
    </xf>
    <xf numFmtId="38" fontId="3" fillId="4" borderId="21" xfId="1" applyFont="1" applyFill="1" applyBorder="1" applyAlignment="1" applyProtection="1">
      <alignment horizontal="center" vertical="center" shrinkToFit="1"/>
      <protection locked="0"/>
    </xf>
    <xf numFmtId="38" fontId="3" fillId="4" borderId="22" xfId="1" applyFont="1" applyFill="1" applyBorder="1" applyAlignment="1" applyProtection="1">
      <alignment horizontal="center" vertical="center" shrinkToFit="1"/>
      <protection locked="0"/>
    </xf>
    <xf numFmtId="20" fontId="3" fillId="4" borderId="17" xfId="1" applyNumberFormat="1" applyFont="1" applyFill="1" applyBorder="1" applyAlignment="1" applyProtection="1">
      <alignment horizontal="center" vertical="center" shrinkToFit="1"/>
      <protection locked="0"/>
    </xf>
    <xf numFmtId="20" fontId="3" fillId="4" borderId="16" xfId="1" applyNumberFormat="1" applyFont="1" applyFill="1" applyBorder="1" applyAlignment="1" applyProtection="1">
      <alignment horizontal="center" vertical="center" shrinkToFit="1"/>
      <protection locked="0"/>
    </xf>
    <xf numFmtId="20" fontId="3" fillId="4" borderId="25" xfId="1" applyNumberFormat="1" applyFont="1" applyFill="1" applyBorder="1" applyAlignment="1" applyProtection="1">
      <alignment horizontal="center" vertical="center" shrinkToFit="1"/>
      <protection locked="0"/>
    </xf>
    <xf numFmtId="0" fontId="3" fillId="4" borderId="16" xfId="1" applyNumberFormat="1" applyFont="1" applyFill="1" applyBorder="1" applyAlignment="1" applyProtection="1">
      <alignment vertical="center" shrinkToFit="1"/>
      <protection locked="0"/>
    </xf>
    <xf numFmtId="0" fontId="3" fillId="4" borderId="0" xfId="1" applyNumberFormat="1" applyFont="1" applyFill="1" applyBorder="1" applyAlignment="1" applyProtection="1">
      <alignment vertical="center" shrinkToFit="1"/>
      <protection locked="0"/>
    </xf>
    <xf numFmtId="40" fontId="3" fillId="4" borderId="21" xfId="1" applyNumberFormat="1" applyFont="1" applyFill="1" applyBorder="1" applyAlignment="1" applyProtection="1">
      <alignment vertical="center" shrinkToFit="1"/>
      <protection locked="0"/>
    </xf>
    <xf numFmtId="40" fontId="3" fillId="4" borderId="23" xfId="1" applyNumberFormat="1" applyFont="1" applyFill="1" applyBorder="1" applyAlignment="1" applyProtection="1">
      <alignment vertical="center" shrinkToFit="1"/>
      <protection locked="0"/>
    </xf>
    <xf numFmtId="40" fontId="3" fillId="4" borderId="16" xfId="1" applyNumberFormat="1" applyFont="1" applyFill="1" applyBorder="1" applyAlignment="1" applyProtection="1">
      <alignment vertical="center" shrinkToFit="1"/>
      <protection locked="0"/>
    </xf>
    <xf numFmtId="40" fontId="3" fillId="4" borderId="0" xfId="1" applyNumberFormat="1" applyFont="1" applyFill="1" applyBorder="1" applyAlignment="1" applyProtection="1">
      <alignment vertical="center" shrinkToFit="1"/>
      <protection locked="0"/>
    </xf>
    <xf numFmtId="38" fontId="3" fillId="4" borderId="16" xfId="1" applyFont="1" applyFill="1" applyBorder="1" applyAlignment="1" applyProtection="1">
      <alignment horizontal="right" vertical="center" shrinkToFit="1"/>
      <protection locked="0"/>
    </xf>
    <xf numFmtId="38" fontId="3" fillId="4" borderId="0" xfId="1" applyFont="1" applyFill="1" applyBorder="1" applyAlignment="1" applyProtection="1">
      <alignment horizontal="right" vertical="center" shrinkToFit="1"/>
      <protection locked="0"/>
    </xf>
    <xf numFmtId="20" fontId="3" fillId="4" borderId="22" xfId="1" applyNumberFormat="1" applyFont="1" applyFill="1" applyBorder="1" applyAlignment="1" applyProtection="1">
      <alignment horizontal="center" vertical="center" shrinkToFit="1"/>
      <protection locked="0"/>
    </xf>
    <xf numFmtId="20" fontId="3" fillId="4" borderId="21" xfId="1" applyNumberFormat="1" applyFont="1" applyFill="1" applyBorder="1" applyAlignment="1" applyProtection="1">
      <alignment horizontal="center" vertical="center" shrinkToFit="1"/>
      <protection locked="0"/>
    </xf>
    <xf numFmtId="20" fontId="3" fillId="4" borderId="24" xfId="1" applyNumberFormat="1" applyFont="1" applyFill="1" applyBorder="1" applyAlignment="1" applyProtection="1">
      <alignment horizontal="center" vertical="center" shrinkToFit="1"/>
      <protection locked="0"/>
    </xf>
    <xf numFmtId="0" fontId="3" fillId="4" borderId="21" xfId="1" applyNumberFormat="1" applyFont="1" applyFill="1" applyBorder="1" applyAlignment="1" applyProtection="1">
      <alignment vertical="center" shrinkToFit="1"/>
      <protection locked="0"/>
    </xf>
    <xf numFmtId="0" fontId="3" fillId="4" borderId="23" xfId="1" applyNumberFormat="1" applyFont="1" applyFill="1" applyBorder="1" applyAlignment="1" applyProtection="1">
      <alignment vertical="center" shrinkToFit="1"/>
      <protection locked="0"/>
    </xf>
    <xf numFmtId="38" fontId="3" fillId="4" borderId="21" xfId="1" applyFont="1" applyFill="1" applyBorder="1" applyAlignment="1" applyProtection="1">
      <alignment horizontal="right" vertical="center" shrinkToFit="1"/>
      <protection locked="0"/>
    </xf>
    <xf numFmtId="38" fontId="3" fillId="4" borderId="23" xfId="1" applyFont="1" applyFill="1" applyBorder="1" applyAlignment="1" applyProtection="1">
      <alignment horizontal="right" vertical="center" shrinkToFit="1"/>
      <protection locked="0"/>
    </xf>
    <xf numFmtId="38" fontId="3" fillId="4" borderId="27" xfId="1" applyFont="1" applyFill="1" applyBorder="1" applyAlignment="1" applyProtection="1">
      <alignment horizontal="center" vertical="center" shrinkToFit="1"/>
      <protection locked="0"/>
    </xf>
    <xf numFmtId="38" fontId="3" fillId="4" borderId="26" xfId="1" applyFont="1" applyFill="1" applyBorder="1" applyAlignment="1" applyProtection="1">
      <alignment horizontal="center" vertical="center" shrinkToFit="1"/>
      <protection locked="0"/>
    </xf>
    <xf numFmtId="14" fontId="8" fillId="0" borderId="2" xfId="1" applyNumberFormat="1" applyFont="1" applyFill="1" applyBorder="1" applyAlignment="1" applyProtection="1">
      <alignment horizontal="center" vertical="center" shrinkToFit="1"/>
      <protection locked="0"/>
    </xf>
    <xf numFmtId="14" fontId="8" fillId="0" borderId="3" xfId="1" applyNumberFormat="1" applyFont="1" applyFill="1" applyBorder="1" applyAlignment="1" applyProtection="1">
      <alignment horizontal="center" vertical="center" shrinkToFit="1"/>
      <protection locked="0"/>
    </xf>
    <xf numFmtId="14" fontId="8" fillId="0" borderId="4" xfId="1" applyNumberFormat="1" applyFont="1" applyFill="1" applyBorder="1" applyAlignment="1" applyProtection="1">
      <alignment horizontal="center" vertical="center" shrinkToFit="1"/>
      <protection locked="0"/>
    </xf>
    <xf numFmtId="38" fontId="3" fillId="5" borderId="6" xfId="1" applyFont="1" applyFill="1" applyBorder="1" applyAlignment="1" applyProtection="1">
      <alignment horizontal="center" vertical="center" shrinkToFit="1"/>
    </xf>
    <xf numFmtId="38" fontId="3" fillId="5" borderId="12" xfId="1" applyFont="1" applyFill="1" applyBorder="1" applyAlignment="1" applyProtection="1">
      <alignment horizontal="center" vertical="center" shrinkToFit="1"/>
    </xf>
    <xf numFmtId="38" fontId="3" fillId="5" borderId="3" xfId="1" applyFont="1" applyFill="1" applyBorder="1" applyAlignment="1" applyProtection="1">
      <alignment horizontal="center" vertical="center" shrinkToFit="1"/>
    </xf>
    <xf numFmtId="38" fontId="0" fillId="0" borderId="3" xfId="1" applyFont="1" applyFill="1" applyBorder="1" applyAlignment="1" applyProtection="1">
      <alignment horizontal="center" vertical="center" shrinkToFit="1"/>
      <protection locked="0"/>
    </xf>
    <xf numFmtId="38" fontId="1" fillId="0" borderId="3" xfId="1" applyFont="1" applyFill="1" applyBorder="1" applyAlignment="1" applyProtection="1">
      <alignment horizontal="center" vertical="center" shrinkToFit="1"/>
      <protection locked="0"/>
    </xf>
    <xf numFmtId="38" fontId="1" fillId="0" borderId="6" xfId="1" applyFont="1" applyFill="1" applyBorder="1" applyAlignment="1" applyProtection="1">
      <alignment horizontal="center" vertical="center" shrinkToFit="1"/>
      <protection locked="0"/>
    </xf>
    <xf numFmtId="20" fontId="3" fillId="4" borderId="26" xfId="1" applyNumberFormat="1" applyFont="1" applyFill="1" applyBorder="1" applyAlignment="1" applyProtection="1">
      <alignment horizontal="center" vertical="center" shrinkToFit="1"/>
      <protection locked="0"/>
    </xf>
    <xf numFmtId="20" fontId="3" fillId="4" borderId="27" xfId="1" applyNumberFormat="1" applyFont="1" applyFill="1" applyBorder="1" applyAlignment="1" applyProtection="1">
      <alignment horizontal="center" vertical="center" shrinkToFit="1"/>
      <protection locked="0"/>
    </xf>
    <xf numFmtId="20" fontId="3" fillId="4" borderId="29" xfId="1" applyNumberFormat="1" applyFont="1" applyFill="1" applyBorder="1" applyAlignment="1" applyProtection="1">
      <alignment horizontal="center" vertical="center" shrinkToFit="1"/>
      <protection locked="0"/>
    </xf>
    <xf numFmtId="0" fontId="3" fillId="4" borderId="27" xfId="1" applyNumberFormat="1" applyFont="1" applyFill="1" applyBorder="1" applyAlignment="1" applyProtection="1">
      <alignment vertical="center" shrinkToFit="1"/>
      <protection locked="0"/>
    </xf>
    <xf numFmtId="0" fontId="3" fillId="4" borderId="28" xfId="1" applyNumberFormat="1" applyFont="1" applyFill="1" applyBorder="1" applyAlignment="1" applyProtection="1">
      <alignment vertical="center" shrinkToFit="1"/>
      <protection locked="0"/>
    </xf>
    <xf numFmtId="40" fontId="3" fillId="4" borderId="27" xfId="1" applyNumberFormat="1" applyFont="1" applyFill="1" applyBorder="1" applyAlignment="1" applyProtection="1">
      <alignment vertical="center" shrinkToFit="1"/>
      <protection locked="0"/>
    </xf>
    <xf numFmtId="40" fontId="3" fillId="4" borderId="28" xfId="1" applyNumberFormat="1" applyFont="1" applyFill="1" applyBorder="1" applyAlignment="1" applyProtection="1">
      <alignment vertical="center" shrinkToFit="1"/>
      <protection locked="0"/>
    </xf>
    <xf numFmtId="38" fontId="3" fillId="4" borderId="27" xfId="1" applyFont="1" applyFill="1" applyBorder="1" applyAlignment="1" applyProtection="1">
      <alignment horizontal="right" vertical="center" shrinkToFit="1"/>
      <protection locked="0"/>
    </xf>
    <xf numFmtId="38" fontId="3" fillId="4" borderId="28" xfId="1" applyFont="1" applyFill="1" applyBorder="1" applyAlignment="1" applyProtection="1">
      <alignment horizontal="right" vertical="center" shrinkToFit="1"/>
      <protection locked="0"/>
    </xf>
    <xf numFmtId="0" fontId="3" fillId="0" borderId="18" xfId="1" applyNumberFormat="1" applyFont="1" applyFill="1" applyBorder="1" applyAlignment="1" applyProtection="1">
      <alignment horizontal="center" vertical="center" shrinkToFit="1"/>
      <protection locked="0"/>
    </xf>
    <xf numFmtId="0" fontId="3" fillId="0" borderId="19" xfId="1" applyNumberFormat="1" applyFont="1" applyFill="1" applyBorder="1" applyAlignment="1" applyProtection="1">
      <alignment horizontal="center" vertical="center" shrinkToFit="1"/>
      <protection locked="0"/>
    </xf>
    <xf numFmtId="180" fontId="3" fillId="0" borderId="20" xfId="1" applyNumberFormat="1" applyFont="1" applyFill="1" applyBorder="1" applyAlignment="1" applyProtection="1">
      <alignment horizontal="right" vertical="center" shrinkToFit="1"/>
      <protection locked="0"/>
    </xf>
    <xf numFmtId="180" fontId="3" fillId="0" borderId="18" xfId="1" applyNumberFormat="1" applyFont="1" applyFill="1" applyBorder="1" applyAlignment="1" applyProtection="1">
      <alignment horizontal="right" vertical="center" shrinkToFit="1"/>
      <protection locked="0"/>
    </xf>
    <xf numFmtId="180" fontId="3" fillId="0" borderId="30" xfId="1" applyNumberFormat="1" applyFont="1" applyFill="1" applyBorder="1" applyAlignment="1" applyProtection="1">
      <alignment horizontal="right" vertical="center" shrinkToFit="1"/>
      <protection locked="0"/>
    </xf>
    <xf numFmtId="180" fontId="3" fillId="0" borderId="31" xfId="1" applyNumberFormat="1" applyFont="1" applyFill="1" applyBorder="1" applyAlignment="1" applyProtection="1">
      <alignment horizontal="right" vertical="center" shrinkToFit="1"/>
      <protection locked="0"/>
    </xf>
    <xf numFmtId="10" fontId="3" fillId="5" borderId="33" xfId="1" applyNumberFormat="1" applyFont="1" applyFill="1" applyBorder="1" applyAlignment="1" applyProtection="1">
      <alignment horizontal="right" vertical="center" shrinkToFit="1"/>
    </xf>
    <xf numFmtId="10" fontId="3" fillId="5" borderId="34" xfId="1" applyNumberFormat="1" applyFont="1" applyFill="1" applyBorder="1" applyAlignment="1" applyProtection="1">
      <alignment horizontal="right" vertical="center" shrinkToFit="1"/>
    </xf>
    <xf numFmtId="0" fontId="3" fillId="0" borderId="36" xfId="1" applyNumberFormat="1" applyFont="1" applyFill="1" applyBorder="1" applyAlignment="1" applyProtection="1">
      <alignment horizontal="center" vertical="center" shrinkToFit="1"/>
      <protection locked="0"/>
    </xf>
    <xf numFmtId="0" fontId="3" fillId="0" borderId="37" xfId="1" applyNumberFormat="1" applyFont="1" applyFill="1" applyBorder="1" applyAlignment="1" applyProtection="1">
      <alignment horizontal="center" vertical="center" shrinkToFit="1"/>
      <protection locked="0"/>
    </xf>
    <xf numFmtId="38" fontId="9" fillId="5" borderId="1" xfId="1" applyFont="1" applyFill="1" applyBorder="1" applyAlignment="1" applyProtection="1">
      <alignment horizontal="center" vertical="center" shrinkToFit="1"/>
    </xf>
    <xf numFmtId="38" fontId="9" fillId="2" borderId="9" xfId="1" applyFont="1" applyFill="1" applyBorder="1" applyAlignment="1" applyProtection="1">
      <alignment horizontal="center" vertical="center" shrinkToFit="1"/>
    </xf>
    <xf numFmtId="38" fontId="9" fillId="2" borderId="7" xfId="1" applyFont="1" applyFill="1" applyBorder="1" applyAlignment="1" applyProtection="1">
      <alignment horizontal="center" vertical="center" shrinkToFit="1"/>
    </xf>
    <xf numFmtId="38" fontId="9" fillId="2" borderId="8" xfId="1" applyFont="1" applyFill="1" applyBorder="1" applyAlignment="1" applyProtection="1">
      <alignment horizontal="center" vertical="center" shrinkToFit="1"/>
    </xf>
    <xf numFmtId="38" fontId="9" fillId="8" borderId="2" xfId="1" applyFont="1" applyFill="1" applyBorder="1" applyAlignment="1" applyProtection="1">
      <alignment horizontal="center" vertical="center" shrinkToFit="1"/>
    </xf>
    <xf numFmtId="38" fontId="9" fillId="8" borderId="4" xfId="1" applyFont="1" applyFill="1" applyBorder="1" applyAlignment="1" applyProtection="1">
      <alignment horizontal="center" vertical="center" shrinkToFit="1"/>
    </xf>
    <xf numFmtId="183" fontId="3" fillId="0" borderId="38" xfId="1" applyNumberFormat="1" applyFont="1" applyFill="1" applyBorder="1" applyAlignment="1" applyProtection="1">
      <alignment horizontal="right" vertical="center" shrinkToFit="1"/>
      <protection locked="0"/>
    </xf>
    <xf numFmtId="183" fontId="3" fillId="0" borderId="37" xfId="1" applyNumberFormat="1" applyFont="1" applyFill="1" applyBorder="1" applyAlignment="1" applyProtection="1">
      <alignment horizontal="right" vertical="center" shrinkToFit="1"/>
      <protection locked="0"/>
    </xf>
    <xf numFmtId="0" fontId="3" fillId="0" borderId="38" xfId="1" applyNumberFormat="1" applyFont="1" applyFill="1" applyBorder="1" applyAlignment="1" applyProtection="1">
      <alignment horizontal="right" vertical="center" shrinkToFit="1"/>
      <protection locked="0"/>
    </xf>
    <xf numFmtId="0" fontId="3" fillId="0" borderId="37" xfId="1" applyNumberFormat="1" applyFont="1" applyFill="1" applyBorder="1" applyAlignment="1" applyProtection="1">
      <alignment horizontal="right" vertical="center" shrinkToFit="1"/>
      <protection locked="0"/>
    </xf>
    <xf numFmtId="38" fontId="3" fillId="5" borderId="39" xfId="1" applyFont="1" applyFill="1" applyBorder="1" applyAlignment="1" applyProtection="1">
      <alignment horizontal="right" vertical="center" shrinkToFit="1"/>
      <protection locked="0"/>
    </xf>
    <xf numFmtId="38" fontId="3" fillId="5" borderId="37" xfId="1" applyFont="1" applyFill="1" applyBorder="1" applyAlignment="1" applyProtection="1">
      <alignment horizontal="right" vertical="center" shrinkToFit="1"/>
      <protection locked="0"/>
    </xf>
    <xf numFmtId="38" fontId="9" fillId="7" borderId="2" xfId="1" applyFont="1" applyFill="1" applyBorder="1" applyAlignment="1" applyProtection="1">
      <alignment horizontal="center" vertical="center" shrinkToFit="1"/>
    </xf>
    <xf numFmtId="38" fontId="9" fillId="7" borderId="4" xfId="1" applyFont="1" applyFill="1" applyBorder="1" applyAlignment="1" applyProtection="1">
      <alignment horizontal="center" vertical="center" shrinkToFit="1"/>
    </xf>
    <xf numFmtId="38" fontId="9" fillId="7" borderId="3" xfId="1" applyFont="1" applyFill="1" applyBorder="1" applyAlignment="1" applyProtection="1">
      <alignment horizontal="center" vertical="center" shrinkToFit="1"/>
    </xf>
    <xf numFmtId="38" fontId="9" fillId="2" borderId="12" xfId="1" applyFont="1" applyFill="1" applyBorder="1" applyAlignment="1" applyProtection="1">
      <alignment horizontal="center" vertical="center" shrinkToFit="1"/>
    </xf>
    <xf numFmtId="38" fontId="9" fillId="8" borderId="3" xfId="1" applyFont="1" applyFill="1" applyBorder="1" applyAlignment="1" applyProtection="1">
      <alignment horizontal="center" vertical="center" shrinkToFit="1"/>
    </xf>
    <xf numFmtId="0" fontId="3" fillId="0" borderId="23" xfId="1" applyNumberFormat="1" applyFont="1" applyFill="1" applyBorder="1" applyAlignment="1" applyProtection="1">
      <alignment horizontal="center" vertical="center" shrinkToFit="1"/>
      <protection locked="0"/>
    </xf>
    <xf numFmtId="0" fontId="3" fillId="0" borderId="22" xfId="1" applyNumberFormat="1" applyFont="1" applyFill="1" applyBorder="1" applyAlignment="1" applyProtection="1">
      <alignment horizontal="center" vertical="center" shrinkToFit="1"/>
      <protection locked="0"/>
    </xf>
    <xf numFmtId="180" fontId="3" fillId="0" borderId="40" xfId="1" applyNumberFormat="1" applyFont="1" applyFill="1" applyBorder="1" applyAlignment="1" applyProtection="1">
      <alignment horizontal="right" vertical="center" shrinkToFit="1"/>
      <protection locked="0"/>
    </xf>
    <xf numFmtId="10" fontId="3" fillId="5" borderId="40" xfId="1" applyNumberFormat="1" applyFont="1" applyFill="1" applyBorder="1" applyAlignment="1" applyProtection="1">
      <alignment horizontal="right" vertical="center" shrinkToFit="1"/>
    </xf>
    <xf numFmtId="10" fontId="3" fillId="5" borderId="31" xfId="1" applyNumberFormat="1" applyFont="1" applyFill="1" applyBorder="1" applyAlignment="1" applyProtection="1">
      <alignment horizontal="right" vertical="center" shrinkToFit="1"/>
    </xf>
    <xf numFmtId="0" fontId="3" fillId="0" borderId="40" xfId="1" applyNumberFormat="1" applyFont="1" applyFill="1" applyBorder="1" applyAlignment="1" applyProtection="1">
      <alignment horizontal="center" vertical="center" shrinkToFit="1"/>
      <protection locked="0"/>
    </xf>
    <xf numFmtId="0" fontId="3" fillId="0" borderId="31" xfId="1" applyNumberFormat="1" applyFont="1" applyFill="1" applyBorder="1" applyAlignment="1" applyProtection="1">
      <alignment horizontal="center" vertical="center" shrinkToFit="1"/>
      <protection locked="0"/>
    </xf>
    <xf numFmtId="183" fontId="3" fillId="0" borderId="41" xfId="1" applyNumberFormat="1" applyFont="1" applyFill="1" applyBorder="1" applyAlignment="1" applyProtection="1">
      <alignment horizontal="right" vertical="center" shrinkToFit="1"/>
      <protection locked="0"/>
    </xf>
    <xf numFmtId="183" fontId="3" fillId="0" borderId="31" xfId="1" applyNumberFormat="1" applyFont="1" applyFill="1" applyBorder="1" applyAlignment="1" applyProtection="1">
      <alignment horizontal="right" vertical="center" shrinkToFit="1"/>
      <protection locked="0"/>
    </xf>
    <xf numFmtId="0" fontId="3" fillId="0" borderId="41" xfId="1" applyNumberFormat="1" applyFont="1" applyFill="1" applyBorder="1" applyAlignment="1" applyProtection="1">
      <alignment horizontal="right" vertical="center" shrinkToFit="1"/>
      <protection locked="0"/>
    </xf>
    <xf numFmtId="0" fontId="3" fillId="0" borderId="31" xfId="1" applyNumberFormat="1" applyFont="1" applyFill="1" applyBorder="1" applyAlignment="1" applyProtection="1">
      <alignment horizontal="right" vertical="center" shrinkToFit="1"/>
      <protection locked="0"/>
    </xf>
    <xf numFmtId="38" fontId="3" fillId="5" borderId="30" xfId="1" applyFont="1" applyFill="1" applyBorder="1" applyAlignment="1" applyProtection="1">
      <alignment horizontal="right" vertical="center" shrinkToFit="1"/>
      <protection locked="0"/>
    </xf>
    <xf numFmtId="38" fontId="3" fillId="5" borderId="31" xfId="1" applyFont="1" applyFill="1" applyBorder="1" applyAlignment="1" applyProtection="1">
      <alignment horizontal="right" vertical="center" shrinkToFit="1"/>
      <protection locked="0"/>
    </xf>
    <xf numFmtId="38" fontId="3" fillId="5" borderId="42" xfId="1" applyFont="1" applyFill="1" applyBorder="1" applyAlignment="1" applyProtection="1">
      <alignment horizontal="right" vertical="center" shrinkToFit="1"/>
      <protection locked="0"/>
    </xf>
    <xf numFmtId="38" fontId="3" fillId="5" borderId="22" xfId="1" applyFont="1" applyFill="1" applyBorder="1" applyAlignment="1" applyProtection="1">
      <alignment horizontal="right" vertical="center" shrinkToFit="1"/>
      <protection locked="0"/>
    </xf>
    <xf numFmtId="183" fontId="3" fillId="0" borderId="43" xfId="1" applyNumberFormat="1" applyFont="1" applyFill="1" applyBorder="1" applyAlignment="1" applyProtection="1">
      <alignment horizontal="right" vertical="center" shrinkToFit="1"/>
      <protection locked="0"/>
    </xf>
    <xf numFmtId="183" fontId="3" fillId="0" borderId="44" xfId="1" applyNumberFormat="1" applyFont="1" applyFill="1" applyBorder="1" applyAlignment="1" applyProtection="1">
      <alignment horizontal="right" vertical="center" shrinkToFit="1"/>
      <protection locked="0"/>
    </xf>
    <xf numFmtId="180" fontId="3" fillId="0" borderId="21" xfId="1" applyNumberFormat="1" applyFont="1" applyFill="1" applyBorder="1" applyAlignment="1" applyProtection="1">
      <alignment horizontal="right" vertical="center" shrinkToFit="1"/>
      <protection locked="0"/>
    </xf>
    <xf numFmtId="180" fontId="3" fillId="0" borderId="41" xfId="1" applyNumberFormat="1" applyFont="1" applyFill="1" applyBorder="1" applyAlignment="1" applyProtection="1">
      <alignment horizontal="right" vertical="center" shrinkToFit="1"/>
      <protection locked="0"/>
    </xf>
    <xf numFmtId="180" fontId="3" fillId="0" borderId="42" xfId="1" applyNumberFormat="1" applyFont="1" applyFill="1" applyBorder="1" applyAlignment="1" applyProtection="1">
      <alignment horizontal="right" vertical="center" shrinkToFit="1"/>
      <protection locked="0"/>
    </xf>
    <xf numFmtId="180" fontId="3" fillId="0" borderId="22" xfId="1" applyNumberFormat="1" applyFont="1" applyFill="1" applyBorder="1" applyAlignment="1" applyProtection="1">
      <alignment horizontal="right" vertical="center" shrinkToFit="1"/>
      <protection locked="0"/>
    </xf>
    <xf numFmtId="38" fontId="20" fillId="2" borderId="5" xfId="1" applyFont="1" applyFill="1" applyBorder="1" applyAlignment="1" applyProtection="1">
      <alignment horizontal="center" vertical="center" wrapText="1" shrinkToFit="1"/>
    </xf>
    <xf numFmtId="38" fontId="20" fillId="2" borderId="0" xfId="1" applyFont="1" applyFill="1" applyBorder="1" applyAlignment="1" applyProtection="1">
      <alignment horizontal="center" vertical="center" wrapText="1" shrinkToFit="1"/>
    </xf>
    <xf numFmtId="38" fontId="20" fillId="2" borderId="14" xfId="1" applyFont="1" applyFill="1" applyBorder="1" applyAlignment="1" applyProtection="1">
      <alignment horizontal="center" vertical="center" wrapText="1" shrinkToFit="1"/>
    </xf>
    <xf numFmtId="0" fontId="3" fillId="5" borderId="30" xfId="1" applyNumberFormat="1" applyFont="1" applyFill="1" applyBorder="1" applyAlignment="1" applyProtection="1">
      <alignment horizontal="center" vertical="center" shrinkToFit="1"/>
    </xf>
    <xf numFmtId="0" fontId="3" fillId="5" borderId="45" xfId="1" applyNumberFormat="1" applyFont="1" applyFill="1" applyBorder="1" applyAlignment="1" applyProtection="1">
      <alignment horizontal="center" vertical="center" shrinkToFit="1"/>
    </xf>
    <xf numFmtId="0" fontId="3" fillId="0" borderId="45" xfId="1" applyNumberFormat="1" applyFont="1" applyFill="1" applyBorder="1" applyAlignment="1" applyProtection="1">
      <alignment horizontal="center" vertical="center" shrinkToFit="1"/>
      <protection locked="0"/>
    </xf>
    <xf numFmtId="180" fontId="3" fillId="5" borderId="45" xfId="4" applyNumberFormat="1" applyFont="1" applyFill="1" applyBorder="1" applyAlignment="1" applyProtection="1">
      <alignment horizontal="right" vertical="center" shrinkToFit="1"/>
    </xf>
    <xf numFmtId="180" fontId="3" fillId="5" borderId="35" xfId="1" applyNumberFormat="1" applyFont="1" applyFill="1" applyBorder="1" applyAlignment="1" applyProtection="1">
      <alignment horizontal="center" vertical="center" shrinkToFit="1"/>
    </xf>
    <xf numFmtId="180" fontId="3" fillId="5" borderId="90" xfId="1" applyNumberFormat="1" applyFont="1" applyFill="1" applyBorder="1" applyAlignment="1" applyProtection="1">
      <alignment horizontal="center" vertical="center" shrinkToFit="1"/>
    </xf>
    <xf numFmtId="180" fontId="3" fillId="5" borderId="91" xfId="1" applyNumberFormat="1" applyFont="1" applyFill="1" applyBorder="1" applyAlignment="1" applyProtection="1">
      <alignment horizontal="center" vertical="center" shrinkToFit="1"/>
    </xf>
    <xf numFmtId="180" fontId="3" fillId="5" borderId="18" xfId="1" applyNumberFormat="1" applyFont="1" applyFill="1" applyBorder="1" applyAlignment="1" applyProtection="1">
      <alignment horizontal="center" vertical="center" shrinkToFit="1"/>
    </xf>
    <xf numFmtId="180" fontId="3" fillId="5" borderId="38" xfId="1" applyNumberFormat="1" applyFont="1" applyFill="1" applyBorder="1" applyAlignment="1" applyProtection="1">
      <alignment horizontal="center" vertical="center" shrinkToFit="1"/>
    </xf>
    <xf numFmtId="182" fontId="3" fillId="5" borderId="42" xfId="2" applyNumberFormat="1" applyFont="1" applyFill="1" applyBorder="1" applyAlignment="1" applyProtection="1">
      <alignment horizontal="right" vertical="center" shrinkToFit="1"/>
    </xf>
    <xf numFmtId="182" fontId="3" fillId="5" borderId="41" xfId="2" applyNumberFormat="1" applyFont="1" applyFill="1" applyBorder="1" applyAlignment="1" applyProtection="1">
      <alignment horizontal="right" vertical="center" shrinkToFit="1"/>
    </xf>
    <xf numFmtId="182" fontId="3" fillId="5" borderId="92" xfId="2" applyNumberFormat="1" applyFont="1" applyFill="1" applyBorder="1" applyAlignment="1" applyProtection="1">
      <alignment horizontal="right" vertical="center" shrinkToFit="1"/>
    </xf>
    <xf numFmtId="182" fontId="3" fillId="5" borderId="47" xfId="2" applyNumberFormat="1" applyFont="1" applyFill="1" applyBorder="1" applyAlignment="1" applyProtection="1">
      <alignment horizontal="right" vertical="center" shrinkToFit="1"/>
    </xf>
    <xf numFmtId="180" fontId="3" fillId="5" borderId="30" xfId="4" applyNumberFormat="1" applyFont="1" applyFill="1" applyBorder="1" applyAlignment="1" applyProtection="1">
      <alignment horizontal="right" vertical="center" shrinkToFit="1"/>
    </xf>
    <xf numFmtId="0" fontId="3" fillId="0" borderId="30" xfId="1" applyNumberFormat="1" applyFont="1" applyFill="1" applyBorder="1" applyAlignment="1" applyProtection="1">
      <alignment horizontal="center" vertical="center" shrinkToFit="1"/>
      <protection locked="0"/>
    </xf>
    <xf numFmtId="0" fontId="3" fillId="5" borderId="90" xfId="1" applyNumberFormat="1" applyFont="1" applyFill="1" applyBorder="1" applyAlignment="1" applyProtection="1">
      <alignment horizontal="center" vertical="center" shrinkToFit="1"/>
    </xf>
    <xf numFmtId="10" fontId="3" fillId="5" borderId="90" xfId="1" applyNumberFormat="1" applyFont="1" applyFill="1" applyBorder="1" applyAlignment="1" applyProtection="1">
      <alignment horizontal="center" vertical="center" shrinkToFit="1"/>
    </xf>
    <xf numFmtId="180" fontId="3" fillId="5" borderId="42" xfId="1" applyNumberFormat="1" applyFont="1" applyFill="1" applyBorder="1" applyAlignment="1" applyProtection="1">
      <alignment horizontal="right" vertical="center" shrinkToFit="1"/>
    </xf>
    <xf numFmtId="180" fontId="3" fillId="5" borderId="23" xfId="1" applyNumberFormat="1" applyFont="1" applyFill="1" applyBorder="1" applyAlignment="1" applyProtection="1">
      <alignment horizontal="right" vertical="center" shrinkToFit="1"/>
    </xf>
    <xf numFmtId="180" fontId="3" fillId="5" borderId="41" xfId="1" applyNumberFormat="1" applyFont="1" applyFill="1" applyBorder="1" applyAlignment="1" applyProtection="1">
      <alignment horizontal="right" vertical="center" shrinkToFit="1"/>
    </xf>
    <xf numFmtId="180" fontId="3" fillId="5" borderId="92" xfId="1" applyNumberFormat="1" applyFont="1" applyFill="1" applyBorder="1" applyAlignment="1" applyProtection="1">
      <alignment horizontal="right" vertical="center" shrinkToFit="1"/>
    </xf>
    <xf numFmtId="180" fontId="3" fillId="5" borderId="28" xfId="1" applyNumberFormat="1" applyFont="1" applyFill="1" applyBorder="1" applyAlignment="1" applyProtection="1">
      <alignment horizontal="right" vertical="center" shrinkToFit="1"/>
    </xf>
    <xf numFmtId="180" fontId="3" fillId="5" borderId="47" xfId="1" applyNumberFormat="1" applyFont="1" applyFill="1" applyBorder="1" applyAlignment="1" applyProtection="1">
      <alignment horizontal="right" vertical="center" shrinkToFit="1"/>
    </xf>
    <xf numFmtId="9" fontId="3" fillId="0" borderId="3" xfId="2" applyFont="1" applyFill="1" applyBorder="1" applyAlignment="1" applyProtection="1">
      <alignment horizontal="center" vertical="center" shrinkToFit="1"/>
      <protection locked="0"/>
    </xf>
    <xf numFmtId="9" fontId="3" fillId="0" borderId="4" xfId="2" applyFont="1" applyFill="1" applyBorder="1" applyAlignment="1" applyProtection="1">
      <alignment horizontal="center" vertical="center" shrinkToFit="1"/>
      <protection locked="0"/>
    </xf>
    <xf numFmtId="176" fontId="23" fillId="4" borderId="51" xfId="1" applyNumberFormat="1" applyFont="1" applyFill="1" applyBorder="1" applyAlignment="1" applyProtection="1">
      <alignment horizontal="center" vertical="center" shrinkToFit="1"/>
      <protection locked="0"/>
    </xf>
    <xf numFmtId="176" fontId="23" fillId="4" borderId="52" xfId="1" applyNumberFormat="1" applyFont="1" applyFill="1" applyBorder="1" applyAlignment="1" applyProtection="1">
      <alignment horizontal="center" vertical="center" shrinkToFit="1"/>
      <protection locked="0"/>
    </xf>
    <xf numFmtId="176" fontId="23" fillId="4" borderId="53" xfId="1" applyNumberFormat="1" applyFont="1" applyFill="1" applyBorder="1" applyAlignment="1" applyProtection="1">
      <alignment horizontal="center" vertical="center" shrinkToFit="1"/>
      <protection locked="0"/>
    </xf>
    <xf numFmtId="176" fontId="23" fillId="4" borderId="21" xfId="1" applyNumberFormat="1" applyFont="1" applyFill="1" applyBorder="1" applyAlignment="1" applyProtection="1">
      <alignment horizontal="center" vertical="center" shrinkToFit="1"/>
      <protection locked="0"/>
    </xf>
    <xf numFmtId="176" fontId="23" fillId="4" borderId="23" xfId="1" applyNumberFormat="1" applyFont="1" applyFill="1" applyBorder="1" applyAlignment="1" applyProtection="1">
      <alignment horizontal="center" vertical="center" shrinkToFit="1"/>
      <protection locked="0"/>
    </xf>
    <xf numFmtId="176" fontId="23" fillId="4" borderId="22" xfId="1" applyNumberFormat="1" applyFont="1" applyFill="1" applyBorder="1" applyAlignment="1" applyProtection="1">
      <alignment horizontal="center" vertical="center" shrinkToFit="1"/>
      <protection locked="0"/>
    </xf>
    <xf numFmtId="176" fontId="23" fillId="4" borderId="27" xfId="1" applyNumberFormat="1" applyFont="1" applyFill="1" applyBorder="1" applyAlignment="1" applyProtection="1">
      <alignment horizontal="center" vertical="center" shrinkToFit="1"/>
      <protection locked="0"/>
    </xf>
    <xf numFmtId="176" fontId="23" fillId="4" borderId="28" xfId="1" applyNumberFormat="1" applyFont="1" applyFill="1" applyBorder="1" applyAlignment="1" applyProtection="1">
      <alignment horizontal="center" vertical="center" shrinkToFit="1"/>
      <protection locked="0"/>
    </xf>
    <xf numFmtId="176" fontId="23" fillId="4" borderId="26" xfId="1" applyNumberFormat="1" applyFont="1" applyFill="1" applyBorder="1" applyAlignment="1" applyProtection="1">
      <alignment horizontal="center" vertical="center" shrinkToFit="1"/>
      <protection locked="0"/>
    </xf>
    <xf numFmtId="38" fontId="12" fillId="0" borderId="10" xfId="1" applyFont="1" applyBorder="1" applyAlignment="1" applyProtection="1">
      <alignment horizontal="center" vertical="center" shrinkToFit="1"/>
      <protection locked="0"/>
    </xf>
    <xf numFmtId="38" fontId="12" fillId="0" borderId="5" xfId="1" applyFont="1" applyBorder="1" applyAlignment="1" applyProtection="1">
      <alignment horizontal="center" vertical="center" shrinkToFit="1"/>
      <protection locked="0"/>
    </xf>
    <xf numFmtId="38" fontId="12" fillId="0" borderId="11" xfId="1" applyFont="1" applyBorder="1" applyAlignment="1" applyProtection="1">
      <alignment horizontal="center" vertical="center" shrinkToFit="1"/>
      <protection locked="0"/>
    </xf>
    <xf numFmtId="38" fontId="12" fillId="0" borderId="16" xfId="1" applyFont="1" applyBorder="1" applyAlignment="1" applyProtection="1">
      <alignment horizontal="center" vertical="center" shrinkToFit="1"/>
      <protection locked="0"/>
    </xf>
    <xf numFmtId="38" fontId="12" fillId="0" borderId="0" xfId="1" applyFont="1" applyBorder="1" applyAlignment="1" applyProtection="1">
      <alignment horizontal="center" vertical="center" shrinkToFit="1"/>
      <protection locked="0"/>
    </xf>
    <xf numFmtId="38" fontId="12" fillId="0" borderId="17" xfId="1" applyFont="1" applyBorder="1" applyAlignment="1" applyProtection="1">
      <alignment horizontal="center" vertical="center" shrinkToFit="1"/>
      <protection locked="0"/>
    </xf>
    <xf numFmtId="38" fontId="12" fillId="0" borderId="13" xfId="1" applyFont="1" applyBorder="1" applyAlignment="1" applyProtection="1">
      <alignment horizontal="center" vertical="center" shrinkToFit="1"/>
      <protection locked="0"/>
    </xf>
    <xf numFmtId="38" fontId="12" fillId="0" borderId="14" xfId="1" applyFont="1" applyBorder="1" applyAlignment="1" applyProtection="1">
      <alignment horizontal="center" vertical="center" shrinkToFit="1"/>
      <protection locked="0"/>
    </xf>
    <xf numFmtId="38" fontId="12" fillId="0" borderId="15" xfId="1" applyFont="1" applyBorder="1" applyAlignment="1" applyProtection="1">
      <alignment horizontal="center" vertical="center" shrinkToFit="1"/>
      <protection locked="0"/>
    </xf>
    <xf numFmtId="38" fontId="1" fillId="2" borderId="3" xfId="1" applyFont="1" applyFill="1" applyBorder="1" applyAlignment="1" applyProtection="1">
      <alignment horizontal="left" vertical="center" shrinkToFit="1"/>
    </xf>
    <xf numFmtId="38" fontId="3" fillId="2" borderId="3" xfId="1" applyFont="1" applyFill="1" applyBorder="1" applyAlignment="1" applyProtection="1">
      <alignment horizontal="left" vertical="center" shrinkToFit="1"/>
    </xf>
    <xf numFmtId="38" fontId="3" fillId="6" borderId="3" xfId="1" applyFont="1" applyFill="1" applyBorder="1" applyAlignment="1" applyProtection="1">
      <alignment horizontal="left" vertical="center" shrinkToFit="1"/>
      <protection locked="0"/>
    </xf>
    <xf numFmtId="0" fontId="0" fillId="0" borderId="3" xfId="0" applyBorder="1" applyAlignment="1" applyProtection="1">
      <alignment horizontal="left" vertical="center" shrinkToFit="1"/>
      <protection locked="0"/>
    </xf>
    <xf numFmtId="38" fontId="1" fillId="3" borderId="3" xfId="1" applyFont="1" applyFill="1" applyBorder="1" applyAlignment="1" applyProtection="1">
      <alignment horizontal="left" vertical="center" shrinkToFit="1"/>
    </xf>
    <xf numFmtId="38" fontId="3" fillId="3" borderId="3" xfId="1" applyFont="1" applyFill="1" applyBorder="1" applyAlignment="1" applyProtection="1">
      <alignment horizontal="left" vertical="center" shrinkToFit="1"/>
    </xf>
    <xf numFmtId="38" fontId="3" fillId="0" borderId="2" xfId="1" applyFont="1" applyBorder="1" applyAlignment="1" applyProtection="1">
      <alignment horizontal="left" vertical="center" shrinkToFit="1"/>
      <protection locked="0"/>
    </xf>
    <xf numFmtId="38" fontId="9" fillId="3" borderId="2" xfId="1" applyFont="1" applyFill="1" applyBorder="1" applyAlignment="1" applyProtection="1">
      <alignment horizontal="center" vertical="center" shrinkToFit="1"/>
    </xf>
    <xf numFmtId="38" fontId="9" fillId="3" borderId="3" xfId="1" applyFont="1" applyFill="1" applyBorder="1" applyAlignment="1" applyProtection="1">
      <alignment horizontal="center" vertical="center" shrinkToFit="1"/>
    </xf>
    <xf numFmtId="38" fontId="9" fillId="3" borderId="4" xfId="1" applyFont="1" applyFill="1" applyBorder="1" applyAlignment="1" applyProtection="1">
      <alignment horizontal="center" vertical="center" shrinkToFit="1"/>
    </xf>
    <xf numFmtId="38" fontId="1" fillId="3" borderId="2" xfId="1" applyFont="1" applyFill="1" applyBorder="1" applyAlignment="1" applyProtection="1">
      <alignment horizontal="center" vertical="center" shrinkToFit="1"/>
    </xf>
    <xf numFmtId="38" fontId="1" fillId="3" borderId="3" xfId="1" applyFont="1" applyFill="1" applyBorder="1" applyAlignment="1" applyProtection="1">
      <alignment horizontal="center" vertical="center" shrinkToFit="1"/>
    </xf>
    <xf numFmtId="38" fontId="1" fillId="3" borderId="4" xfId="1" applyFont="1" applyFill="1" applyBorder="1" applyAlignment="1" applyProtection="1">
      <alignment horizontal="center" vertical="center" shrinkToFit="1"/>
    </xf>
    <xf numFmtId="38" fontId="3" fillId="3" borderId="3" xfId="1" applyFont="1" applyFill="1" applyBorder="1" applyAlignment="1" applyProtection="1">
      <alignment horizontal="center" vertical="center" shrinkToFit="1"/>
    </xf>
    <xf numFmtId="38" fontId="3" fillId="3" borderId="4" xfId="1" applyFont="1" applyFill="1" applyBorder="1" applyAlignment="1" applyProtection="1">
      <alignment horizontal="center" vertical="center" shrinkToFit="1"/>
    </xf>
    <xf numFmtId="38" fontId="3" fillId="2" borderId="14" xfId="1" applyFont="1" applyFill="1" applyBorder="1" applyAlignment="1" applyProtection="1">
      <alignment horizontal="left" vertical="center" shrinkToFit="1"/>
    </xf>
    <xf numFmtId="38" fontId="0" fillId="0" borderId="10" xfId="1" applyFont="1" applyBorder="1" applyAlignment="1" applyProtection="1">
      <alignment horizontal="left" vertical="center" shrinkToFit="1"/>
      <protection locked="0"/>
    </xf>
    <xf numFmtId="38" fontId="3" fillId="0" borderId="5" xfId="1" applyFont="1" applyBorder="1" applyAlignment="1" applyProtection="1">
      <alignment horizontal="left" vertical="center" shrinkToFit="1"/>
      <protection locked="0"/>
    </xf>
    <xf numFmtId="38" fontId="3" fillId="0" borderId="11" xfId="1" applyFont="1" applyBorder="1" applyAlignment="1" applyProtection="1">
      <alignment horizontal="left" vertical="center" shrinkToFit="1"/>
      <protection locked="0"/>
    </xf>
    <xf numFmtId="38" fontId="0" fillId="0" borderId="48" xfId="1" applyFont="1" applyBorder="1" applyAlignment="1" applyProtection="1">
      <alignment horizontal="left" vertical="center" shrinkToFit="1"/>
      <protection locked="0"/>
    </xf>
    <xf numFmtId="38" fontId="3" fillId="0" borderId="49" xfId="1" applyFont="1" applyBorder="1" applyAlignment="1" applyProtection="1">
      <alignment horizontal="left" vertical="center" shrinkToFit="1"/>
      <protection locked="0"/>
    </xf>
    <xf numFmtId="38" fontId="3" fillId="0" borderId="50" xfId="1" applyFont="1" applyBorder="1" applyAlignment="1" applyProtection="1">
      <alignment horizontal="left" vertical="center" shrinkToFit="1"/>
      <protection locked="0"/>
    </xf>
    <xf numFmtId="0" fontId="3" fillId="0" borderId="41" xfId="1" applyNumberFormat="1" applyFont="1" applyFill="1" applyBorder="1" applyAlignment="1" applyProtection="1">
      <alignment horizontal="center" vertical="center" shrinkToFit="1"/>
      <protection locked="0"/>
    </xf>
    <xf numFmtId="0" fontId="3" fillId="0" borderId="27" xfId="1" applyNumberFormat="1" applyFont="1" applyFill="1" applyBorder="1" applyAlignment="1" applyProtection="1">
      <alignment horizontal="center" vertical="center" shrinkToFit="1"/>
      <protection locked="0"/>
    </xf>
    <xf numFmtId="0" fontId="3" fillId="0" borderId="47" xfId="1" applyNumberFormat="1" applyFont="1" applyFill="1" applyBorder="1" applyAlignment="1" applyProtection="1">
      <alignment horizontal="center" vertical="center" shrinkToFit="1"/>
      <protection locked="0"/>
    </xf>
    <xf numFmtId="180" fontId="3" fillId="5" borderId="19" xfId="1" applyNumberFormat="1" applyFont="1" applyFill="1" applyBorder="1" applyAlignment="1" applyProtection="1">
      <alignment horizontal="center" vertical="center" shrinkToFit="1"/>
    </xf>
    <xf numFmtId="183" fontId="3" fillId="5" borderId="42" xfId="4" applyNumberFormat="1" applyFont="1" applyFill="1" applyBorder="1" applyAlignment="1" applyProtection="1">
      <alignment horizontal="right" vertical="center" shrinkToFit="1"/>
    </xf>
    <xf numFmtId="183" fontId="3" fillId="5" borderId="23" xfId="4" applyNumberFormat="1" applyFont="1" applyFill="1" applyBorder="1" applyAlignment="1" applyProtection="1">
      <alignment horizontal="right" vertical="center" shrinkToFit="1"/>
    </xf>
    <xf numFmtId="183" fontId="3" fillId="5" borderId="22" xfId="4" applyNumberFormat="1" applyFont="1" applyFill="1" applyBorder="1" applyAlignment="1" applyProtection="1">
      <alignment horizontal="right" vertical="center" shrinkToFit="1"/>
    </xf>
    <xf numFmtId="183" fontId="3" fillId="5" borderId="42" xfId="1" applyNumberFormat="1" applyFont="1" applyFill="1" applyBorder="1" applyAlignment="1" applyProtection="1">
      <alignment horizontal="right" vertical="center" shrinkToFit="1"/>
    </xf>
    <xf numFmtId="183" fontId="3" fillId="5" borderId="23" xfId="1" applyNumberFormat="1" applyFont="1" applyFill="1" applyBorder="1" applyAlignment="1" applyProtection="1">
      <alignment horizontal="right" vertical="center" shrinkToFit="1"/>
    </xf>
    <xf numFmtId="183" fontId="3" fillId="5" borderId="22" xfId="1" applyNumberFormat="1" applyFont="1" applyFill="1" applyBorder="1" applyAlignment="1" applyProtection="1">
      <alignment horizontal="right" vertical="center" shrinkToFit="1"/>
    </xf>
    <xf numFmtId="183" fontId="3" fillId="5" borderId="92" xfId="1" applyNumberFormat="1" applyFont="1" applyFill="1" applyBorder="1" applyAlignment="1" applyProtection="1">
      <alignment horizontal="right" vertical="center" shrinkToFit="1"/>
    </xf>
    <xf numFmtId="183" fontId="3" fillId="5" borderId="28" xfId="1" applyNumberFormat="1" applyFont="1" applyFill="1" applyBorder="1" applyAlignment="1" applyProtection="1">
      <alignment horizontal="right" vertical="center" shrinkToFit="1"/>
    </xf>
    <xf numFmtId="183" fontId="3" fillId="5" borderId="26" xfId="1" applyNumberFormat="1" applyFont="1" applyFill="1" applyBorder="1" applyAlignment="1" applyProtection="1">
      <alignment horizontal="right" vertical="center" shrinkToFit="1"/>
    </xf>
    <xf numFmtId="38" fontId="8" fillId="0" borderId="1" xfId="1" applyFont="1" applyFill="1" applyBorder="1" applyAlignment="1" applyProtection="1">
      <alignment horizontal="center" vertical="center" shrinkToFit="1"/>
      <protection locked="0"/>
    </xf>
    <xf numFmtId="38" fontId="8" fillId="5" borderId="1" xfId="1" applyFont="1" applyFill="1" applyBorder="1" applyAlignment="1" applyProtection="1">
      <alignment horizontal="center" vertical="center" shrinkToFit="1"/>
    </xf>
    <xf numFmtId="180" fontId="3" fillId="2" borderId="2" xfId="1" applyNumberFormat="1" applyFont="1" applyFill="1" applyBorder="1" applyAlignment="1" applyProtection="1">
      <alignment horizontal="center" vertical="center" shrinkToFit="1"/>
    </xf>
    <xf numFmtId="180" fontId="3" fillId="2" borderId="6" xfId="1" applyNumberFormat="1" applyFont="1" applyFill="1" applyBorder="1" applyAlignment="1" applyProtection="1">
      <alignment horizontal="center" vertical="center" shrinkToFit="1"/>
    </xf>
    <xf numFmtId="9" fontId="3" fillId="0" borderId="12" xfId="2" applyFont="1" applyFill="1" applyBorder="1" applyAlignment="1" applyProtection="1">
      <alignment horizontal="center" vertical="center" shrinkToFit="1"/>
      <protection locked="0"/>
    </xf>
    <xf numFmtId="9" fontId="3" fillId="0" borderId="6" xfId="2" applyFont="1" applyFill="1" applyBorder="1" applyAlignment="1" applyProtection="1">
      <alignment horizontal="center" vertical="center" shrinkToFit="1"/>
      <protection locked="0"/>
    </xf>
    <xf numFmtId="180" fontId="3" fillId="5" borderId="3" xfId="1" applyNumberFormat="1" applyFont="1" applyFill="1" applyBorder="1" applyAlignment="1" applyProtection="1">
      <alignment horizontal="center" vertical="center" shrinkToFit="1"/>
    </xf>
    <xf numFmtId="180" fontId="3" fillId="5" borderId="2" xfId="1" applyNumberFormat="1" applyFont="1" applyFill="1" applyBorder="1" applyAlignment="1" applyProtection="1">
      <alignment horizontal="center" vertical="center" shrinkToFit="1"/>
    </xf>
    <xf numFmtId="9" fontId="3" fillId="5" borderId="2" xfId="2" applyFont="1" applyFill="1" applyBorder="1" applyAlignment="1" applyProtection="1">
      <alignment horizontal="center" vertical="center" shrinkToFit="1"/>
    </xf>
    <xf numFmtId="9" fontId="3" fillId="5" borderId="3" xfId="2" applyFont="1" applyFill="1" applyBorder="1" applyAlignment="1" applyProtection="1">
      <alignment horizontal="center" vertical="center" shrinkToFit="1"/>
    </xf>
    <xf numFmtId="0" fontId="29" fillId="0" borderId="0" xfId="5" applyFont="1" applyAlignment="1">
      <alignment horizontal="center" vertical="center"/>
    </xf>
    <xf numFmtId="0" fontId="14" fillId="0" borderId="0" xfId="5" applyFont="1" applyAlignment="1">
      <alignment horizontal="center" vertical="center"/>
    </xf>
    <xf numFmtId="0" fontId="30" fillId="0" borderId="77" xfId="5" applyFont="1" applyBorder="1" applyAlignment="1">
      <alignment horizontal="center" vertical="center"/>
    </xf>
    <xf numFmtId="0" fontId="30" fillId="0" borderId="73" xfId="5" applyFont="1" applyBorder="1" applyAlignment="1">
      <alignment horizontal="center" vertical="center"/>
    </xf>
  </cellXfs>
  <cellStyles count="7">
    <cellStyle name="パーセント" xfId="2" builtinId="5"/>
    <cellStyle name="桁区切り" xfId="1" builtinId="6"/>
    <cellStyle name="桁区切り 2" xfId="6" xr:uid="{E1BB1456-4B24-400C-A851-E3CCB75D71CC}"/>
    <cellStyle name="通貨" xfId="4" builtinId="7"/>
    <cellStyle name="標準" xfId="0" builtinId="0"/>
    <cellStyle name="標準 2" xfId="5" xr:uid="{AEE9873B-3417-4226-B9E9-FE508255BCE7}"/>
    <cellStyle name="標準 4" xfId="3" xr:uid="{EA5BC30E-F3DC-43D9-8D8F-AB8B4487FBD4}"/>
  </cellStyles>
  <dxfs count="1">
    <dxf>
      <font>
        <strike val="0"/>
        <u/>
      </font>
    </dxf>
  </dxfs>
  <tableStyles count="0" defaultTableStyle="TableStyleMedium2" defaultPivotStyle="PivotStyleLight16"/>
  <colors>
    <mruColors>
      <color rgb="FFCCFFFF"/>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11</xdr:col>
      <xdr:colOff>257175</xdr:colOff>
      <xdr:row>49</xdr:row>
      <xdr:rowOff>200025</xdr:rowOff>
    </xdr:from>
    <xdr:to>
      <xdr:col>13</xdr:col>
      <xdr:colOff>200025</xdr:colOff>
      <xdr:row>52</xdr:row>
      <xdr:rowOff>219075</xdr:rowOff>
    </xdr:to>
    <xdr:sp macro="" textlink="">
      <xdr:nvSpPr>
        <xdr:cNvPr id="2" name="AutoShape 67">
          <a:extLst>
            <a:ext uri="{FF2B5EF4-FFF2-40B4-BE49-F238E27FC236}">
              <a16:creationId xmlns:a16="http://schemas.microsoft.com/office/drawing/2014/main" id="{EF67347C-A153-4095-8B48-F42AA68CE3CF}"/>
            </a:ext>
          </a:extLst>
        </xdr:cNvPr>
        <xdr:cNvSpPr>
          <a:spLocks noChangeArrowheads="1"/>
        </xdr:cNvSpPr>
      </xdr:nvSpPr>
      <xdr:spPr bwMode="auto">
        <a:xfrm>
          <a:off x="4343400" y="12315825"/>
          <a:ext cx="685800" cy="704850"/>
        </a:xfrm>
        <a:prstGeom prst="left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675A-1D82-4F77-8E25-F2A692D98161}">
  <dimension ref="A1:Z55"/>
  <sheetViews>
    <sheetView tabSelected="1" topLeftCell="A8" zoomScaleNormal="100" zoomScaleSheetLayoutView="145" workbookViewId="0">
      <selection activeCell="M25" sqref="M25"/>
    </sheetView>
  </sheetViews>
  <sheetFormatPr defaultRowHeight="18"/>
  <cols>
    <col min="1" max="23" width="4.83203125" style="108" customWidth="1"/>
    <col min="24" max="25" width="4.08203125" style="108" customWidth="1"/>
    <col min="26" max="26" width="16.58203125" style="108" customWidth="1"/>
    <col min="27" max="256" width="9" style="108"/>
    <col min="257" max="279" width="4.83203125" style="108" customWidth="1"/>
    <col min="280" max="282" width="4.08203125" style="108" customWidth="1"/>
    <col min="283" max="512" width="9" style="108"/>
    <col min="513" max="535" width="4.83203125" style="108" customWidth="1"/>
    <col min="536" max="538" width="4.08203125" style="108" customWidth="1"/>
    <col min="539" max="768" width="9" style="108"/>
    <col min="769" max="791" width="4.83203125" style="108" customWidth="1"/>
    <col min="792" max="794" width="4.08203125" style="108" customWidth="1"/>
    <col min="795" max="1024" width="9" style="108"/>
    <col min="1025" max="1047" width="4.83203125" style="108" customWidth="1"/>
    <col min="1048" max="1050" width="4.08203125" style="108" customWidth="1"/>
    <col min="1051" max="1280" width="9" style="108"/>
    <col min="1281" max="1303" width="4.83203125" style="108" customWidth="1"/>
    <col min="1304" max="1306" width="4.08203125" style="108" customWidth="1"/>
    <col min="1307" max="1536" width="9" style="108"/>
    <col min="1537" max="1559" width="4.83203125" style="108" customWidth="1"/>
    <col min="1560" max="1562" width="4.08203125" style="108" customWidth="1"/>
    <col min="1563" max="1792" width="9" style="108"/>
    <col min="1793" max="1815" width="4.83203125" style="108" customWidth="1"/>
    <col min="1816" max="1818" width="4.08203125" style="108" customWidth="1"/>
    <col min="1819" max="2048" width="9" style="108"/>
    <col min="2049" max="2071" width="4.83203125" style="108" customWidth="1"/>
    <col min="2072" max="2074" width="4.08203125" style="108" customWidth="1"/>
    <col min="2075" max="2304" width="9" style="108"/>
    <col min="2305" max="2327" width="4.83203125" style="108" customWidth="1"/>
    <col min="2328" max="2330" width="4.08203125" style="108" customWidth="1"/>
    <col min="2331" max="2560" width="9" style="108"/>
    <col min="2561" max="2583" width="4.83203125" style="108" customWidth="1"/>
    <col min="2584" max="2586" width="4.08203125" style="108" customWidth="1"/>
    <col min="2587" max="2816" width="9" style="108"/>
    <col min="2817" max="2839" width="4.83203125" style="108" customWidth="1"/>
    <col min="2840" max="2842" width="4.08203125" style="108" customWidth="1"/>
    <col min="2843" max="3072" width="9" style="108"/>
    <col min="3073" max="3095" width="4.83203125" style="108" customWidth="1"/>
    <col min="3096" max="3098" width="4.08203125" style="108" customWidth="1"/>
    <col min="3099" max="3328" width="9" style="108"/>
    <col min="3329" max="3351" width="4.83203125" style="108" customWidth="1"/>
    <col min="3352" max="3354" width="4.08203125" style="108" customWidth="1"/>
    <col min="3355" max="3584" width="9" style="108"/>
    <col min="3585" max="3607" width="4.83203125" style="108" customWidth="1"/>
    <col min="3608" max="3610" width="4.08203125" style="108" customWidth="1"/>
    <col min="3611" max="3840" width="9" style="108"/>
    <col min="3841" max="3863" width="4.83203125" style="108" customWidth="1"/>
    <col min="3864" max="3866" width="4.08203125" style="108" customWidth="1"/>
    <col min="3867" max="4096" width="9" style="108"/>
    <col min="4097" max="4119" width="4.83203125" style="108" customWidth="1"/>
    <col min="4120" max="4122" width="4.08203125" style="108" customWidth="1"/>
    <col min="4123" max="4352" width="9" style="108"/>
    <col min="4353" max="4375" width="4.83203125" style="108" customWidth="1"/>
    <col min="4376" max="4378" width="4.08203125" style="108" customWidth="1"/>
    <col min="4379" max="4608" width="9" style="108"/>
    <col min="4609" max="4631" width="4.83203125" style="108" customWidth="1"/>
    <col min="4632" max="4634" width="4.08203125" style="108" customWidth="1"/>
    <col min="4635" max="4864" width="9" style="108"/>
    <col min="4865" max="4887" width="4.83203125" style="108" customWidth="1"/>
    <col min="4888" max="4890" width="4.08203125" style="108" customWidth="1"/>
    <col min="4891" max="5120" width="9" style="108"/>
    <col min="5121" max="5143" width="4.83203125" style="108" customWidth="1"/>
    <col min="5144" max="5146" width="4.08203125" style="108" customWidth="1"/>
    <col min="5147" max="5376" width="9" style="108"/>
    <col min="5377" max="5399" width="4.83203125" style="108" customWidth="1"/>
    <col min="5400" max="5402" width="4.08203125" style="108" customWidth="1"/>
    <col min="5403" max="5632" width="9" style="108"/>
    <col min="5633" max="5655" width="4.83203125" style="108" customWidth="1"/>
    <col min="5656" max="5658" width="4.08203125" style="108" customWidth="1"/>
    <col min="5659" max="5888" width="9" style="108"/>
    <col min="5889" max="5911" width="4.83203125" style="108" customWidth="1"/>
    <col min="5912" max="5914" width="4.08203125" style="108" customWidth="1"/>
    <col min="5915" max="6144" width="9" style="108"/>
    <col min="6145" max="6167" width="4.83203125" style="108" customWidth="1"/>
    <col min="6168" max="6170" width="4.08203125" style="108" customWidth="1"/>
    <col min="6171" max="6400" width="9" style="108"/>
    <col min="6401" max="6423" width="4.83203125" style="108" customWidth="1"/>
    <col min="6424" max="6426" width="4.08203125" style="108" customWidth="1"/>
    <col min="6427" max="6656" width="9" style="108"/>
    <col min="6657" max="6679" width="4.83203125" style="108" customWidth="1"/>
    <col min="6680" max="6682" width="4.08203125" style="108" customWidth="1"/>
    <col min="6683" max="6912" width="9" style="108"/>
    <col min="6913" max="6935" width="4.83203125" style="108" customWidth="1"/>
    <col min="6936" max="6938" width="4.08203125" style="108" customWidth="1"/>
    <col min="6939" max="7168" width="9" style="108"/>
    <col min="7169" max="7191" width="4.83203125" style="108" customWidth="1"/>
    <col min="7192" max="7194" width="4.08203125" style="108" customWidth="1"/>
    <col min="7195" max="7424" width="9" style="108"/>
    <col min="7425" max="7447" width="4.83203125" style="108" customWidth="1"/>
    <col min="7448" max="7450" width="4.08203125" style="108" customWidth="1"/>
    <col min="7451" max="7680" width="9" style="108"/>
    <col min="7681" max="7703" width="4.83203125" style="108" customWidth="1"/>
    <col min="7704" max="7706" width="4.08203125" style="108" customWidth="1"/>
    <col min="7707" max="7936" width="9" style="108"/>
    <col min="7937" max="7959" width="4.83203125" style="108" customWidth="1"/>
    <col min="7960" max="7962" width="4.08203125" style="108" customWidth="1"/>
    <col min="7963" max="8192" width="9" style="108"/>
    <col min="8193" max="8215" width="4.83203125" style="108" customWidth="1"/>
    <col min="8216" max="8218" width="4.08203125" style="108" customWidth="1"/>
    <col min="8219" max="8448" width="9" style="108"/>
    <col min="8449" max="8471" width="4.83203125" style="108" customWidth="1"/>
    <col min="8472" max="8474" width="4.08203125" style="108" customWidth="1"/>
    <col min="8475" max="8704" width="9" style="108"/>
    <col min="8705" max="8727" width="4.83203125" style="108" customWidth="1"/>
    <col min="8728" max="8730" width="4.08203125" style="108" customWidth="1"/>
    <col min="8731" max="8960" width="9" style="108"/>
    <col min="8961" max="8983" width="4.83203125" style="108" customWidth="1"/>
    <col min="8984" max="8986" width="4.08203125" style="108" customWidth="1"/>
    <col min="8987" max="9216" width="9" style="108"/>
    <col min="9217" max="9239" width="4.83203125" style="108" customWidth="1"/>
    <col min="9240" max="9242" width="4.08203125" style="108" customWidth="1"/>
    <col min="9243" max="9472" width="9" style="108"/>
    <col min="9473" max="9495" width="4.83203125" style="108" customWidth="1"/>
    <col min="9496" max="9498" width="4.08203125" style="108" customWidth="1"/>
    <col min="9499" max="9728" width="9" style="108"/>
    <col min="9729" max="9751" width="4.83203125" style="108" customWidth="1"/>
    <col min="9752" max="9754" width="4.08203125" style="108" customWidth="1"/>
    <col min="9755" max="9984" width="9" style="108"/>
    <col min="9985" max="10007" width="4.83203125" style="108" customWidth="1"/>
    <col min="10008" max="10010" width="4.08203125" style="108" customWidth="1"/>
    <col min="10011" max="10240" width="9" style="108"/>
    <col min="10241" max="10263" width="4.83203125" style="108" customWidth="1"/>
    <col min="10264" max="10266" width="4.08203125" style="108" customWidth="1"/>
    <col min="10267" max="10496" width="9" style="108"/>
    <col min="10497" max="10519" width="4.83203125" style="108" customWidth="1"/>
    <col min="10520" max="10522" width="4.08203125" style="108" customWidth="1"/>
    <col min="10523" max="10752" width="9" style="108"/>
    <col min="10753" max="10775" width="4.83203125" style="108" customWidth="1"/>
    <col min="10776" max="10778" width="4.08203125" style="108" customWidth="1"/>
    <col min="10779" max="11008" width="9" style="108"/>
    <col min="11009" max="11031" width="4.83203125" style="108" customWidth="1"/>
    <col min="11032" max="11034" width="4.08203125" style="108" customWidth="1"/>
    <col min="11035" max="11264" width="9" style="108"/>
    <col min="11265" max="11287" width="4.83203125" style="108" customWidth="1"/>
    <col min="11288" max="11290" width="4.08203125" style="108" customWidth="1"/>
    <col min="11291" max="11520" width="9" style="108"/>
    <col min="11521" max="11543" width="4.83203125" style="108" customWidth="1"/>
    <col min="11544" max="11546" width="4.08203125" style="108" customWidth="1"/>
    <col min="11547" max="11776" width="9" style="108"/>
    <col min="11777" max="11799" width="4.83203125" style="108" customWidth="1"/>
    <col min="11800" max="11802" width="4.08203125" style="108" customWidth="1"/>
    <col min="11803" max="12032" width="9" style="108"/>
    <col min="12033" max="12055" width="4.83203125" style="108" customWidth="1"/>
    <col min="12056" max="12058" width="4.08203125" style="108" customWidth="1"/>
    <col min="12059" max="12288" width="9" style="108"/>
    <col min="12289" max="12311" width="4.83203125" style="108" customWidth="1"/>
    <col min="12312" max="12314" width="4.08203125" style="108" customWidth="1"/>
    <col min="12315" max="12544" width="9" style="108"/>
    <col min="12545" max="12567" width="4.83203125" style="108" customWidth="1"/>
    <col min="12568" max="12570" width="4.08203125" style="108" customWidth="1"/>
    <col min="12571" max="12800" width="9" style="108"/>
    <col min="12801" max="12823" width="4.83203125" style="108" customWidth="1"/>
    <col min="12824" max="12826" width="4.08203125" style="108" customWidth="1"/>
    <col min="12827" max="13056" width="9" style="108"/>
    <col min="13057" max="13079" width="4.83203125" style="108" customWidth="1"/>
    <col min="13080" max="13082" width="4.08203125" style="108" customWidth="1"/>
    <col min="13083" max="13312" width="9" style="108"/>
    <col min="13313" max="13335" width="4.83203125" style="108" customWidth="1"/>
    <col min="13336" max="13338" width="4.08203125" style="108" customWidth="1"/>
    <col min="13339" max="13568" width="9" style="108"/>
    <col min="13569" max="13591" width="4.83203125" style="108" customWidth="1"/>
    <col min="13592" max="13594" width="4.08203125" style="108" customWidth="1"/>
    <col min="13595" max="13824" width="9" style="108"/>
    <col min="13825" max="13847" width="4.83203125" style="108" customWidth="1"/>
    <col min="13848" max="13850" width="4.08203125" style="108" customWidth="1"/>
    <col min="13851" max="14080" width="9" style="108"/>
    <col min="14081" max="14103" width="4.83203125" style="108" customWidth="1"/>
    <col min="14104" max="14106" width="4.08203125" style="108" customWidth="1"/>
    <col min="14107" max="14336" width="9" style="108"/>
    <col min="14337" max="14359" width="4.83203125" style="108" customWidth="1"/>
    <col min="14360" max="14362" width="4.08203125" style="108" customWidth="1"/>
    <col min="14363" max="14592" width="9" style="108"/>
    <col min="14593" max="14615" width="4.83203125" style="108" customWidth="1"/>
    <col min="14616" max="14618" width="4.08203125" style="108" customWidth="1"/>
    <col min="14619" max="14848" width="9" style="108"/>
    <col min="14849" max="14871" width="4.83203125" style="108" customWidth="1"/>
    <col min="14872" max="14874" width="4.08203125" style="108" customWidth="1"/>
    <col min="14875" max="15104" width="9" style="108"/>
    <col min="15105" max="15127" width="4.83203125" style="108" customWidth="1"/>
    <col min="15128" max="15130" width="4.08203125" style="108" customWidth="1"/>
    <col min="15131" max="15360" width="9" style="108"/>
    <col min="15361" max="15383" width="4.83203125" style="108" customWidth="1"/>
    <col min="15384" max="15386" width="4.08203125" style="108" customWidth="1"/>
    <col min="15387" max="15616" width="9" style="108"/>
    <col min="15617" max="15639" width="4.83203125" style="108" customWidth="1"/>
    <col min="15640" max="15642" width="4.08203125" style="108" customWidth="1"/>
    <col min="15643" max="15872" width="9" style="108"/>
    <col min="15873" max="15895" width="4.83203125" style="108" customWidth="1"/>
    <col min="15896" max="15898" width="4.08203125" style="108" customWidth="1"/>
    <col min="15899" max="16128" width="9" style="108"/>
    <col min="16129" max="16151" width="4.83203125" style="108" customWidth="1"/>
    <col min="16152" max="16154" width="4.08203125" style="108" customWidth="1"/>
    <col min="16155" max="16384" width="9" style="108"/>
  </cols>
  <sheetData>
    <row r="1" spans="1:24" ht="28.5" customHeight="1">
      <c r="A1" s="148" t="s">
        <v>0</v>
      </c>
      <c r="B1" s="148"/>
      <c r="C1" s="148"/>
      <c r="D1" s="148"/>
      <c r="E1" s="148"/>
      <c r="F1" s="148"/>
      <c r="G1" s="148"/>
      <c r="H1" s="148"/>
      <c r="I1" s="148"/>
      <c r="J1" s="148"/>
      <c r="K1" s="148"/>
      <c r="L1" s="148"/>
      <c r="M1" s="148"/>
      <c r="N1" s="148"/>
      <c r="O1" s="148"/>
      <c r="P1" s="148"/>
      <c r="Q1" s="148"/>
      <c r="R1" s="148"/>
      <c r="S1" s="148"/>
      <c r="T1" s="148"/>
      <c r="U1" s="148"/>
      <c r="V1" s="148"/>
      <c r="W1" s="148"/>
    </row>
    <row r="2" spans="1:24" ht="9.75" customHeight="1">
      <c r="A2" s="1"/>
      <c r="B2" s="1"/>
      <c r="C2" s="1"/>
      <c r="D2" s="1"/>
      <c r="E2" s="1"/>
      <c r="F2" s="1"/>
      <c r="G2" s="1"/>
      <c r="H2" s="1"/>
      <c r="I2" s="1"/>
      <c r="J2" s="1"/>
      <c r="K2" s="1"/>
      <c r="L2" s="1"/>
      <c r="M2" s="1"/>
      <c r="N2" s="1"/>
      <c r="O2" s="1"/>
      <c r="P2" s="1"/>
      <c r="Q2" s="1"/>
      <c r="R2" s="1"/>
      <c r="S2" s="1"/>
      <c r="T2" s="1"/>
      <c r="U2" s="1"/>
      <c r="V2" s="1"/>
      <c r="W2" s="1"/>
    </row>
    <row r="3" spans="1:24" ht="19.5" customHeight="1">
      <c r="A3" s="149" t="s">
        <v>1</v>
      </c>
      <c r="B3" s="149"/>
      <c r="C3" s="150"/>
      <c r="D3" s="151" t="s">
        <v>1072</v>
      </c>
      <c r="E3" s="152"/>
      <c r="F3" s="152"/>
      <c r="G3" s="152"/>
      <c r="H3" s="152"/>
      <c r="I3" s="153"/>
      <c r="J3" s="1"/>
      <c r="K3" s="1"/>
      <c r="L3" s="1"/>
      <c r="M3" s="1"/>
      <c r="N3" s="154" t="s">
        <v>3</v>
      </c>
      <c r="O3" s="154"/>
      <c r="P3" s="155"/>
      <c r="Q3" s="156"/>
      <c r="R3" s="157"/>
      <c r="S3" s="157"/>
      <c r="T3" s="2" t="s">
        <v>4</v>
      </c>
      <c r="U3" s="158"/>
      <c r="V3" s="159"/>
      <c r="W3" s="160"/>
    </row>
    <row r="4" spans="1:24" ht="19.5" customHeight="1">
      <c r="A4" s="149" t="s">
        <v>5</v>
      </c>
      <c r="B4" s="149"/>
      <c r="C4" s="150"/>
      <c r="D4" s="151" t="s">
        <v>1093</v>
      </c>
      <c r="E4" s="152"/>
      <c r="F4" s="152"/>
      <c r="G4" s="152"/>
      <c r="H4" s="152"/>
      <c r="I4" s="153"/>
      <c r="J4" s="1"/>
      <c r="K4" s="1"/>
      <c r="L4" s="1"/>
      <c r="M4" s="1"/>
      <c r="N4" s="154" t="s">
        <v>6</v>
      </c>
      <c r="O4" s="154"/>
      <c r="P4" s="154"/>
      <c r="Q4" s="170"/>
      <c r="R4" s="170"/>
      <c r="S4" s="170"/>
      <c r="T4" s="170"/>
      <c r="U4" s="170"/>
      <c r="V4" s="170"/>
      <c r="W4" s="170"/>
    </row>
    <row r="5" spans="1:24" ht="19.5" customHeight="1">
      <c r="A5" s="166" t="s">
        <v>7</v>
      </c>
      <c r="B5" s="171"/>
      <c r="C5" s="172"/>
      <c r="D5" s="151" t="s">
        <v>8</v>
      </c>
      <c r="E5" s="152"/>
      <c r="F5" s="152"/>
      <c r="G5" s="152"/>
      <c r="H5" s="152"/>
      <c r="I5" s="153"/>
      <c r="J5" s="3"/>
      <c r="K5" s="3"/>
      <c r="L5" s="3"/>
      <c r="M5" s="3"/>
      <c r="N5" s="149" t="s">
        <v>569</v>
      </c>
      <c r="O5" s="149"/>
      <c r="P5" s="149"/>
      <c r="Q5" s="173">
        <v>2026</v>
      </c>
      <c r="R5" s="174"/>
      <c r="S5" s="4" t="s">
        <v>9</v>
      </c>
      <c r="T5" s="5">
        <v>7</v>
      </c>
      <c r="U5" s="4" t="s">
        <v>10</v>
      </c>
      <c r="V5" s="6">
        <v>28</v>
      </c>
      <c r="W5" s="7" t="s">
        <v>11</v>
      </c>
    </row>
    <row r="6" spans="1:24" ht="19.5" customHeight="1">
      <c r="A6" s="161" t="s">
        <v>12</v>
      </c>
      <c r="B6" s="161"/>
      <c r="C6" s="162"/>
      <c r="D6" s="151" t="s">
        <v>13</v>
      </c>
      <c r="E6" s="152"/>
      <c r="F6" s="152"/>
      <c r="G6" s="152"/>
      <c r="H6" s="152"/>
      <c r="I6" s="153"/>
      <c r="J6" s="3"/>
      <c r="K6" s="3"/>
      <c r="L6" s="3"/>
      <c r="M6" s="3"/>
      <c r="N6" s="163" t="s">
        <v>14</v>
      </c>
      <c r="O6" s="149"/>
      <c r="P6" s="149"/>
      <c r="Q6" s="164" t="s">
        <v>570</v>
      </c>
      <c r="R6" s="165"/>
      <c r="S6" s="165"/>
      <c r="T6" s="166" t="s">
        <v>15</v>
      </c>
      <c r="U6" s="167"/>
      <c r="V6" s="168" t="s">
        <v>636</v>
      </c>
      <c r="W6" s="169"/>
    </row>
    <row r="7" spans="1:24" ht="19.5" customHeight="1">
      <c r="A7" s="425" t="s">
        <v>568</v>
      </c>
      <c r="B7" s="425"/>
      <c r="C7" s="425"/>
      <c r="D7" s="424" t="s">
        <v>2</v>
      </c>
      <c r="E7" s="424"/>
      <c r="F7" s="424"/>
      <c r="G7" s="424"/>
      <c r="H7" s="424"/>
      <c r="I7" s="424"/>
      <c r="J7" s="3"/>
      <c r="K7" s="3"/>
      <c r="L7" s="3"/>
      <c r="M7" s="3"/>
      <c r="N7" s="149" t="s">
        <v>571</v>
      </c>
      <c r="O7" s="149"/>
      <c r="P7" s="149"/>
      <c r="Q7" s="182" t="s">
        <v>637</v>
      </c>
      <c r="R7" s="165"/>
      <c r="S7" s="165"/>
      <c r="T7" s="165"/>
      <c r="U7" s="165"/>
      <c r="V7" s="165"/>
      <c r="W7" s="183"/>
    </row>
    <row r="8" spans="1:24" ht="19.5" customHeight="1">
      <c r="A8" s="8" t="s">
        <v>16</v>
      </c>
      <c r="B8" s="109"/>
      <c r="C8" s="109"/>
      <c r="D8" s="109"/>
      <c r="E8" s="109"/>
      <c r="F8" s="109"/>
      <c r="G8" s="109"/>
      <c r="H8" s="109"/>
      <c r="I8" s="109"/>
      <c r="J8" s="109"/>
      <c r="K8" s="109"/>
      <c r="L8" s="109"/>
      <c r="M8" s="109"/>
      <c r="N8" s="109"/>
      <c r="O8" s="109"/>
      <c r="P8" s="109"/>
      <c r="Q8" s="109"/>
      <c r="R8" s="109"/>
      <c r="S8" s="109"/>
      <c r="T8" s="109"/>
      <c r="U8" s="109"/>
      <c r="V8" s="109"/>
      <c r="W8" s="109"/>
    </row>
    <row r="9" spans="1:24" ht="19.5" customHeight="1">
      <c r="A9" s="149" t="s">
        <v>17</v>
      </c>
      <c r="B9" s="149"/>
      <c r="C9" s="149"/>
      <c r="D9" s="184" t="s">
        <v>1073</v>
      </c>
      <c r="E9" s="185"/>
      <c r="F9" s="185"/>
      <c r="G9" s="185"/>
      <c r="H9" s="185"/>
      <c r="I9" s="185"/>
      <c r="J9" s="185"/>
      <c r="K9" s="185"/>
      <c r="L9" s="185"/>
      <c r="M9" s="186"/>
      <c r="N9" s="149" t="s">
        <v>18</v>
      </c>
      <c r="O9" s="149"/>
      <c r="P9" s="187" t="s">
        <v>1074</v>
      </c>
      <c r="Q9" s="188"/>
      <c r="R9" s="188"/>
      <c r="S9" s="188"/>
      <c r="T9" s="188"/>
      <c r="U9" s="188"/>
      <c r="V9" s="188"/>
      <c r="W9" s="188"/>
    </row>
    <row r="10" spans="1:24" ht="19.5" customHeight="1">
      <c r="A10" s="149" t="s">
        <v>19</v>
      </c>
      <c r="B10" s="149"/>
      <c r="C10" s="149"/>
      <c r="D10" s="9" t="s">
        <v>20</v>
      </c>
      <c r="E10" s="175" t="s">
        <v>1075</v>
      </c>
      <c r="F10" s="176"/>
      <c r="G10" s="176"/>
      <c r="H10" s="175" t="s">
        <v>1076</v>
      </c>
      <c r="I10" s="177"/>
      <c r="J10" s="177"/>
      <c r="K10" s="177"/>
      <c r="L10" s="177"/>
      <c r="M10" s="177"/>
      <c r="N10" s="177"/>
      <c r="O10" s="177"/>
      <c r="P10" s="177"/>
      <c r="Q10" s="177"/>
      <c r="R10" s="177"/>
      <c r="S10" s="177"/>
      <c r="T10" s="177"/>
      <c r="U10" s="177"/>
      <c r="V10" s="177"/>
      <c r="W10" s="178"/>
    </row>
    <row r="11" spans="1:24" ht="19.5" customHeight="1">
      <c r="A11" s="150" t="s">
        <v>21</v>
      </c>
      <c r="B11" s="179"/>
      <c r="C11" s="167"/>
      <c r="D11" s="180" t="s">
        <v>1077</v>
      </c>
      <c r="E11" s="177"/>
      <c r="F11" s="177"/>
      <c r="G11" s="177"/>
      <c r="H11" s="177"/>
      <c r="I11" s="177"/>
      <c r="J11" s="177"/>
      <c r="K11" s="177"/>
      <c r="L11" s="178"/>
      <c r="M11" s="150" t="s">
        <v>22</v>
      </c>
      <c r="N11" s="172"/>
      <c r="O11" s="180"/>
      <c r="P11" s="176"/>
      <c r="Q11" s="176"/>
      <c r="R11" s="176"/>
      <c r="S11" s="176"/>
      <c r="T11" s="176"/>
      <c r="U11" s="176"/>
      <c r="V11" s="176"/>
      <c r="W11" s="181"/>
    </row>
    <row r="12" spans="1:24" ht="19.5" customHeight="1">
      <c r="A12" s="166" t="s">
        <v>572</v>
      </c>
      <c r="B12" s="179"/>
      <c r="C12" s="167"/>
      <c r="D12" s="182" t="s">
        <v>1081</v>
      </c>
      <c r="E12" s="165"/>
      <c r="F12" s="165"/>
      <c r="G12" s="165"/>
      <c r="H12" s="166" t="s">
        <v>23</v>
      </c>
      <c r="I12" s="167"/>
      <c r="J12" s="166" t="s">
        <v>24</v>
      </c>
      <c r="K12" s="207"/>
      <c r="L12" s="189"/>
      <c r="M12" s="208"/>
      <c r="N12" s="200" t="s">
        <v>25</v>
      </c>
      <c r="O12" s="192"/>
      <c r="P12" s="189" t="s">
        <v>1078</v>
      </c>
      <c r="Q12" s="190"/>
      <c r="R12" s="191" t="s">
        <v>26</v>
      </c>
      <c r="S12" s="192"/>
      <c r="T12" s="189" t="s">
        <v>1079</v>
      </c>
      <c r="U12" s="193"/>
      <c r="V12" s="193"/>
      <c r="W12" s="190"/>
    </row>
    <row r="13" spans="1:24" ht="19.5" customHeight="1">
      <c r="A13" s="194" t="s">
        <v>560</v>
      </c>
      <c r="B13" s="195"/>
      <c r="C13" s="196"/>
      <c r="D13" s="200" t="s">
        <v>27</v>
      </c>
      <c r="E13" s="201"/>
      <c r="F13" s="202">
        <v>3000</v>
      </c>
      <c r="G13" s="203"/>
      <c r="H13" s="204" t="s">
        <v>28</v>
      </c>
      <c r="I13" s="205"/>
      <c r="J13" s="200" t="s">
        <v>29</v>
      </c>
      <c r="K13" s="201"/>
      <c r="L13" s="206" t="s">
        <v>1080</v>
      </c>
      <c r="M13" s="165"/>
      <c r="N13" s="165"/>
      <c r="O13" s="165"/>
      <c r="P13" s="165"/>
      <c r="Q13" s="165"/>
      <c r="R13" s="165"/>
      <c r="S13" s="165"/>
      <c r="T13" s="165"/>
      <c r="U13" s="165"/>
      <c r="V13" s="165"/>
      <c r="W13" s="183"/>
    </row>
    <row r="14" spans="1:24" ht="19.5" customHeight="1">
      <c r="A14" s="197"/>
      <c r="B14" s="198"/>
      <c r="C14" s="199"/>
      <c r="D14" s="150" t="s">
        <v>30</v>
      </c>
      <c r="E14" s="179"/>
      <c r="F14" s="167"/>
      <c r="G14" s="209">
        <v>21903</v>
      </c>
      <c r="H14" s="210"/>
      <c r="I14" s="210"/>
      <c r="J14" s="210"/>
      <c r="K14" s="211"/>
      <c r="L14" s="212" t="s">
        <v>31</v>
      </c>
      <c r="M14" s="213"/>
      <c r="N14" s="214" t="s">
        <v>102</v>
      </c>
      <c r="O14" s="215"/>
      <c r="P14" s="215"/>
      <c r="Q14" s="215"/>
      <c r="R14" s="216"/>
      <c r="S14" s="150" t="s">
        <v>33</v>
      </c>
      <c r="T14" s="179"/>
      <c r="U14" s="210" t="s">
        <v>1082</v>
      </c>
      <c r="V14" s="210"/>
      <c r="W14" s="211"/>
      <c r="X14" s="110" t="s">
        <v>34</v>
      </c>
    </row>
    <row r="15" spans="1:24" ht="19.5" customHeight="1">
      <c r="A15" s="8" t="s">
        <v>35</v>
      </c>
      <c r="B15" s="109"/>
      <c r="C15" s="109"/>
      <c r="D15" s="109"/>
      <c r="E15" s="109"/>
      <c r="F15" s="109"/>
      <c r="G15" s="109"/>
      <c r="H15" s="109"/>
      <c r="I15" s="109"/>
      <c r="J15" s="109"/>
      <c r="K15" s="109"/>
      <c r="L15" s="111"/>
      <c r="M15" s="10"/>
      <c r="N15" s="109"/>
      <c r="O15" s="109"/>
      <c r="P15" s="109"/>
      <c r="Q15" s="109"/>
      <c r="R15" s="109"/>
      <c r="S15" s="109"/>
      <c r="T15" s="109"/>
      <c r="U15" s="109"/>
      <c r="V15" s="109"/>
      <c r="W15" s="109"/>
    </row>
    <row r="16" spans="1:24" ht="19.5" customHeight="1">
      <c r="A16" s="149" t="s">
        <v>36</v>
      </c>
      <c r="B16" s="149"/>
      <c r="C16" s="149"/>
      <c r="D16" s="217" t="s">
        <v>1083</v>
      </c>
      <c r="E16" s="218"/>
      <c r="F16" s="218"/>
      <c r="G16" s="218"/>
      <c r="H16" s="150" t="s">
        <v>37</v>
      </c>
      <c r="I16" s="167"/>
      <c r="J16" s="217" t="s">
        <v>1084</v>
      </c>
      <c r="K16" s="218"/>
      <c r="L16" s="218"/>
      <c r="M16" s="218"/>
      <c r="N16" s="218"/>
      <c r="O16" s="218"/>
      <c r="P16" s="218"/>
      <c r="Q16" s="219"/>
      <c r="R16" s="150" t="s">
        <v>38</v>
      </c>
      <c r="S16" s="167"/>
      <c r="T16" s="220" t="s">
        <v>635</v>
      </c>
      <c r="U16" s="218"/>
      <c r="V16" s="218"/>
      <c r="W16" s="219"/>
    </row>
    <row r="17" spans="1:26" ht="19.5" customHeight="1">
      <c r="A17" s="150" t="s">
        <v>39</v>
      </c>
      <c r="B17" s="179"/>
      <c r="C17" s="167"/>
      <c r="D17" s="221">
        <v>46237</v>
      </c>
      <c r="E17" s="222"/>
      <c r="F17" s="222"/>
      <c r="G17" s="223" t="s">
        <v>40</v>
      </c>
      <c r="H17" s="224"/>
      <c r="I17" s="224"/>
      <c r="J17" s="225">
        <v>46237</v>
      </c>
      <c r="K17" s="226"/>
      <c r="L17" s="227"/>
      <c r="M17" s="223" t="s">
        <v>41</v>
      </c>
      <c r="N17" s="224"/>
      <c r="O17" s="224"/>
      <c r="P17" s="225">
        <v>46285</v>
      </c>
      <c r="Q17" s="226"/>
      <c r="R17" s="227"/>
      <c r="S17" s="191" t="s">
        <v>42</v>
      </c>
      <c r="T17" s="201"/>
      <c r="U17" s="228" t="s">
        <v>1087</v>
      </c>
      <c r="V17" s="229"/>
      <c r="W17" s="230"/>
      <c r="X17" s="110" t="s">
        <v>34</v>
      </c>
    </row>
    <row r="18" spans="1:26" ht="19.5" customHeight="1">
      <c r="A18" s="166" t="s">
        <v>43</v>
      </c>
      <c r="B18" s="179"/>
      <c r="C18" s="167"/>
      <c r="D18" s="11" t="s">
        <v>44</v>
      </c>
      <c r="E18" s="251">
        <v>1</v>
      </c>
      <c r="F18" s="252"/>
      <c r="G18" s="11" t="s">
        <v>45</v>
      </c>
      <c r="H18" s="251">
        <v>0</v>
      </c>
      <c r="I18" s="252"/>
      <c r="J18" s="12" t="s">
        <v>46</v>
      </c>
      <c r="K18" s="112">
        <f>SUM(E18+H18)</f>
        <v>1</v>
      </c>
      <c r="L18" s="253" t="s">
        <v>47</v>
      </c>
      <c r="M18" s="253"/>
      <c r="N18" s="13" t="s">
        <v>48</v>
      </c>
      <c r="O18" s="245" t="s">
        <v>1086</v>
      </c>
      <c r="P18" s="254"/>
      <c r="Q18" s="14" t="s">
        <v>49</v>
      </c>
      <c r="R18" s="245" t="s">
        <v>1091</v>
      </c>
      <c r="S18" s="246"/>
      <c r="T18" s="243" t="s">
        <v>50</v>
      </c>
      <c r="U18" s="244"/>
      <c r="V18" s="245" t="s">
        <v>1085</v>
      </c>
      <c r="W18" s="246"/>
    </row>
    <row r="19" spans="1:26" ht="19.5" customHeight="1">
      <c r="A19" s="194" t="s">
        <v>51</v>
      </c>
      <c r="B19" s="195"/>
      <c r="C19" s="196"/>
      <c r="D19" s="150" t="s">
        <v>52</v>
      </c>
      <c r="E19" s="179"/>
      <c r="F19" s="179"/>
      <c r="G19" s="179"/>
      <c r="H19" s="179"/>
      <c r="I19" s="167"/>
      <c r="J19" s="149" t="s">
        <v>581</v>
      </c>
      <c r="K19" s="149"/>
      <c r="L19" s="149"/>
      <c r="M19" s="167" t="s">
        <v>580</v>
      </c>
      <c r="N19" s="149"/>
      <c r="O19" s="150"/>
      <c r="P19" s="205" t="s">
        <v>579</v>
      </c>
      <c r="Q19" s="205"/>
      <c r="R19" s="205"/>
      <c r="S19" s="163" t="s">
        <v>53</v>
      </c>
      <c r="T19" s="149"/>
      <c r="U19" s="149"/>
      <c r="V19" s="250" t="s">
        <v>54</v>
      </c>
      <c r="W19" s="204"/>
    </row>
    <row r="20" spans="1:26" ht="19.5" customHeight="1">
      <c r="A20" s="247"/>
      <c r="B20" s="248"/>
      <c r="C20" s="249"/>
      <c r="D20" s="138" t="s">
        <v>55</v>
      </c>
      <c r="E20" s="231">
        <v>0.35416666666666669</v>
      </c>
      <c r="F20" s="231"/>
      <c r="G20" s="15" t="s">
        <v>56</v>
      </c>
      <c r="H20" s="231">
        <v>0.72916666666666663</v>
      </c>
      <c r="I20" s="232"/>
      <c r="J20" s="233">
        <v>60</v>
      </c>
      <c r="K20" s="234"/>
      <c r="L20" s="113" t="s">
        <v>57</v>
      </c>
      <c r="M20" s="235">
        <v>8</v>
      </c>
      <c r="N20" s="236"/>
      <c r="O20" s="142" t="s">
        <v>58</v>
      </c>
      <c r="P20" s="237">
        <v>8</v>
      </c>
      <c r="Q20" s="238"/>
      <c r="R20" s="113" t="s">
        <v>59</v>
      </c>
      <c r="S20" s="239">
        <v>20</v>
      </c>
      <c r="T20" s="240"/>
      <c r="U20" s="101" t="s">
        <v>11</v>
      </c>
      <c r="V20" s="241" t="s">
        <v>634</v>
      </c>
      <c r="W20" s="242"/>
      <c r="Z20" s="141"/>
    </row>
    <row r="21" spans="1:26" ht="19.5" customHeight="1">
      <c r="A21" s="247"/>
      <c r="B21" s="248"/>
      <c r="C21" s="249"/>
      <c r="D21" s="139" t="s">
        <v>60</v>
      </c>
      <c r="E21" s="268"/>
      <c r="F21" s="269"/>
      <c r="G21" s="16" t="s">
        <v>56</v>
      </c>
      <c r="H21" s="268"/>
      <c r="I21" s="270"/>
      <c r="J21" s="271"/>
      <c r="K21" s="272"/>
      <c r="L21" s="114" t="s">
        <v>57</v>
      </c>
      <c r="M21" s="262"/>
      <c r="N21" s="263"/>
      <c r="O21" s="143" t="s">
        <v>58</v>
      </c>
      <c r="P21" s="262"/>
      <c r="Q21" s="263"/>
      <c r="R21" s="114" t="s">
        <v>59</v>
      </c>
      <c r="S21" s="273"/>
      <c r="T21" s="274"/>
      <c r="U21" s="102" t="s">
        <v>11</v>
      </c>
      <c r="V21" s="255" t="s">
        <v>634</v>
      </c>
      <c r="W21" s="256"/>
    </row>
    <row r="22" spans="1:26" ht="19.5" customHeight="1">
      <c r="A22" s="247"/>
      <c r="B22" s="248"/>
      <c r="C22" s="249"/>
      <c r="D22" s="140" t="s">
        <v>61</v>
      </c>
      <c r="E22" s="257"/>
      <c r="F22" s="258"/>
      <c r="G22" s="17" t="s">
        <v>56</v>
      </c>
      <c r="H22" s="257"/>
      <c r="I22" s="259"/>
      <c r="J22" s="260"/>
      <c r="K22" s="261"/>
      <c r="L22" s="115" t="s">
        <v>57</v>
      </c>
      <c r="M22" s="262"/>
      <c r="N22" s="263"/>
      <c r="O22" s="144" t="s">
        <v>58</v>
      </c>
      <c r="P22" s="264"/>
      <c r="Q22" s="265"/>
      <c r="R22" s="114" t="s">
        <v>59</v>
      </c>
      <c r="S22" s="266"/>
      <c r="T22" s="267"/>
      <c r="U22" s="103" t="s">
        <v>11</v>
      </c>
      <c r="V22" s="255" t="s">
        <v>634</v>
      </c>
      <c r="W22" s="256"/>
    </row>
    <row r="23" spans="1:26" ht="19.5" customHeight="1">
      <c r="A23" s="197"/>
      <c r="B23" s="198"/>
      <c r="C23" s="199"/>
      <c r="D23" s="139" t="s">
        <v>62</v>
      </c>
      <c r="E23" s="286"/>
      <c r="F23" s="287"/>
      <c r="G23" s="18" t="s">
        <v>56</v>
      </c>
      <c r="H23" s="286"/>
      <c r="I23" s="288"/>
      <c r="J23" s="289"/>
      <c r="K23" s="290"/>
      <c r="L23" s="116" t="s">
        <v>57</v>
      </c>
      <c r="M23" s="291"/>
      <c r="N23" s="292"/>
      <c r="O23" s="145" t="s">
        <v>58</v>
      </c>
      <c r="P23" s="291"/>
      <c r="Q23" s="292"/>
      <c r="R23" s="114" t="s">
        <v>59</v>
      </c>
      <c r="S23" s="293"/>
      <c r="T23" s="294"/>
      <c r="U23" s="104" t="s">
        <v>11</v>
      </c>
      <c r="V23" s="275"/>
      <c r="W23" s="276"/>
    </row>
    <row r="24" spans="1:26" ht="19.5" customHeight="1">
      <c r="A24" s="166" t="s">
        <v>63</v>
      </c>
      <c r="B24" s="179"/>
      <c r="C24" s="167"/>
      <c r="D24" s="277" t="s">
        <v>638</v>
      </c>
      <c r="E24" s="278"/>
      <c r="F24" s="278"/>
      <c r="G24" s="278"/>
      <c r="H24" s="278"/>
      <c r="I24" s="279"/>
      <c r="J24" s="162" t="s">
        <v>64</v>
      </c>
      <c r="K24" s="280"/>
      <c r="L24" s="281" t="s">
        <v>48</v>
      </c>
      <c r="M24" s="282"/>
      <c r="N24" s="283" t="s">
        <v>1089</v>
      </c>
      <c r="O24" s="284"/>
      <c r="P24" s="284"/>
      <c r="Q24" s="285"/>
      <c r="R24" s="281" t="s">
        <v>65</v>
      </c>
      <c r="S24" s="282"/>
      <c r="T24" s="283" t="s">
        <v>1090</v>
      </c>
      <c r="U24" s="215"/>
      <c r="V24" s="215"/>
      <c r="W24" s="216"/>
    </row>
    <row r="25" spans="1:26" ht="19.5" customHeight="1">
      <c r="A25" s="8" t="s">
        <v>566</v>
      </c>
      <c r="B25" s="117"/>
      <c r="C25" s="117"/>
      <c r="D25" s="19"/>
      <c r="E25" s="117"/>
      <c r="F25" s="117"/>
      <c r="G25" s="118"/>
      <c r="H25" s="118"/>
      <c r="I25" s="10"/>
      <c r="J25" s="118"/>
      <c r="K25" s="118"/>
      <c r="L25" s="10"/>
      <c r="M25" s="118"/>
      <c r="N25" s="118"/>
      <c r="O25" s="10"/>
      <c r="P25" s="109"/>
      <c r="Q25" s="109"/>
      <c r="R25" s="109"/>
      <c r="S25" s="20"/>
      <c r="T25" s="20"/>
      <c r="U25" s="20"/>
      <c r="V25" s="20"/>
      <c r="W25" s="20"/>
    </row>
    <row r="26" spans="1:26" s="21" customFormat="1" ht="19.5" customHeight="1">
      <c r="A26" s="305" t="s">
        <v>66</v>
      </c>
      <c r="B26" s="305"/>
      <c r="C26" s="305"/>
      <c r="D26" s="306" t="s">
        <v>67</v>
      </c>
      <c r="E26" s="307"/>
      <c r="F26" s="307" t="s">
        <v>68</v>
      </c>
      <c r="G26" s="308"/>
      <c r="H26" s="250" t="s">
        <v>582</v>
      </c>
      <c r="I26" s="204"/>
      <c r="J26" s="309" t="s">
        <v>573</v>
      </c>
      <c r="K26" s="310"/>
      <c r="L26" s="321" t="s">
        <v>576</v>
      </c>
      <c r="M26" s="310"/>
      <c r="N26" s="309" t="s">
        <v>574</v>
      </c>
      <c r="O26" s="310"/>
      <c r="P26" s="317" t="s">
        <v>69</v>
      </c>
      <c r="Q26" s="318"/>
      <c r="R26" s="319" t="s">
        <v>577</v>
      </c>
      <c r="S26" s="318"/>
      <c r="T26" s="317" t="s">
        <v>575</v>
      </c>
      <c r="U26" s="318"/>
      <c r="V26" s="320" t="s">
        <v>70</v>
      </c>
      <c r="W26" s="204"/>
    </row>
    <row r="27" spans="1:26" ht="19.5" customHeight="1">
      <c r="A27" s="22" t="s">
        <v>55</v>
      </c>
      <c r="B27" s="295" t="s">
        <v>1092</v>
      </c>
      <c r="C27" s="296"/>
      <c r="D27" s="297">
        <v>2400</v>
      </c>
      <c r="E27" s="298"/>
      <c r="F27" s="299">
        <v>1350</v>
      </c>
      <c r="G27" s="300"/>
      <c r="H27" s="301">
        <f>F27/D27</f>
        <v>0.5625</v>
      </c>
      <c r="I27" s="302"/>
      <c r="J27" s="303"/>
      <c r="K27" s="304"/>
      <c r="L27" s="311"/>
      <c r="M27" s="312"/>
      <c r="N27" s="311"/>
      <c r="O27" s="312"/>
      <c r="P27" s="313"/>
      <c r="Q27" s="314"/>
      <c r="R27" s="311"/>
      <c r="S27" s="312"/>
      <c r="T27" s="311"/>
      <c r="U27" s="312"/>
      <c r="V27" s="315" t="s">
        <v>578</v>
      </c>
      <c r="W27" s="316"/>
    </row>
    <row r="28" spans="1:26" ht="19.5" customHeight="1">
      <c r="A28" s="22" t="s">
        <v>60</v>
      </c>
      <c r="B28" s="322"/>
      <c r="C28" s="323"/>
      <c r="D28" s="324"/>
      <c r="E28" s="299"/>
      <c r="F28" s="299"/>
      <c r="G28" s="300"/>
      <c r="H28" s="325" t="e">
        <f>F28/D28</f>
        <v>#DIV/0!</v>
      </c>
      <c r="I28" s="326"/>
      <c r="J28" s="327"/>
      <c r="K28" s="328"/>
      <c r="L28" s="329"/>
      <c r="M28" s="330"/>
      <c r="N28" s="329"/>
      <c r="O28" s="330"/>
      <c r="P28" s="331"/>
      <c r="Q28" s="332"/>
      <c r="R28" s="329"/>
      <c r="S28" s="330"/>
      <c r="T28" s="329"/>
      <c r="U28" s="330"/>
      <c r="V28" s="335" t="s">
        <v>578</v>
      </c>
      <c r="W28" s="336"/>
    </row>
    <row r="29" spans="1:26" ht="19.5" customHeight="1">
      <c r="A29" s="22" t="s">
        <v>61</v>
      </c>
      <c r="B29" s="322"/>
      <c r="C29" s="323"/>
      <c r="D29" s="324"/>
      <c r="E29" s="299"/>
      <c r="F29" s="299"/>
      <c r="G29" s="300"/>
      <c r="H29" s="325" t="e">
        <f>F29/D29</f>
        <v>#DIV/0!</v>
      </c>
      <c r="I29" s="326"/>
      <c r="J29" s="327"/>
      <c r="K29" s="328"/>
      <c r="L29" s="329"/>
      <c r="M29" s="330"/>
      <c r="N29" s="329"/>
      <c r="O29" s="330"/>
      <c r="P29" s="331"/>
      <c r="Q29" s="332"/>
      <c r="R29" s="329"/>
      <c r="S29" s="330"/>
      <c r="T29" s="329"/>
      <c r="U29" s="330"/>
      <c r="V29" s="333"/>
      <c r="W29" s="334"/>
    </row>
    <row r="30" spans="1:26" ht="19.5" customHeight="1">
      <c r="A30" s="23" t="s">
        <v>62</v>
      </c>
      <c r="B30" s="322"/>
      <c r="C30" s="323"/>
      <c r="D30" s="339"/>
      <c r="E30" s="340"/>
      <c r="F30" s="341"/>
      <c r="G30" s="342"/>
      <c r="H30" s="325" t="e">
        <f t="shared" ref="H30" si="0">F30/D30</f>
        <v>#DIV/0!</v>
      </c>
      <c r="I30" s="326"/>
      <c r="J30" s="327"/>
      <c r="K30" s="328"/>
      <c r="L30" s="337"/>
      <c r="M30" s="338"/>
      <c r="N30" s="337"/>
      <c r="O30" s="338"/>
      <c r="P30" s="331"/>
      <c r="Q30" s="332"/>
      <c r="R30" s="337"/>
      <c r="S30" s="338"/>
      <c r="T30" s="337"/>
      <c r="U30" s="338"/>
      <c r="V30" s="335"/>
      <c r="W30" s="336"/>
    </row>
    <row r="31" spans="1:26" ht="19.5" customHeight="1">
      <c r="A31" s="195" t="s">
        <v>71</v>
      </c>
      <c r="B31" s="195"/>
      <c r="C31" s="196"/>
      <c r="D31" s="426" t="s">
        <v>72</v>
      </c>
      <c r="E31" s="427"/>
      <c r="F31" s="428">
        <v>1.25</v>
      </c>
      <c r="G31" s="429"/>
      <c r="H31" s="432" t="s">
        <v>554</v>
      </c>
      <c r="I31" s="433"/>
      <c r="J31" s="369">
        <v>1.25</v>
      </c>
      <c r="K31" s="370"/>
      <c r="L31" s="431" t="s">
        <v>73</v>
      </c>
      <c r="M31" s="430"/>
      <c r="N31" s="369">
        <v>1.25</v>
      </c>
      <c r="O31" s="370"/>
      <c r="P31" s="431" t="s">
        <v>73</v>
      </c>
      <c r="Q31" s="430"/>
      <c r="R31" s="369">
        <v>1.25</v>
      </c>
      <c r="S31" s="370"/>
      <c r="T31" s="430" t="s">
        <v>74</v>
      </c>
      <c r="U31" s="430"/>
      <c r="V31" s="369">
        <v>1.5</v>
      </c>
      <c r="W31" s="370"/>
    </row>
    <row r="32" spans="1:26" ht="19.5" customHeight="1">
      <c r="A32" s="343" t="s">
        <v>559</v>
      </c>
      <c r="B32" s="343"/>
      <c r="C32" s="105" t="s">
        <v>561</v>
      </c>
      <c r="D32" s="350" t="s">
        <v>555</v>
      </c>
      <c r="E32" s="351"/>
      <c r="F32" s="351" t="s">
        <v>552</v>
      </c>
      <c r="G32" s="351"/>
      <c r="H32" s="351"/>
      <c r="I32" s="351"/>
      <c r="J32" s="361" t="s">
        <v>556</v>
      </c>
      <c r="K32" s="361"/>
      <c r="L32" s="361"/>
      <c r="M32" s="362" t="s">
        <v>557</v>
      </c>
      <c r="N32" s="362"/>
      <c r="O32" s="362"/>
      <c r="P32" s="352" t="s">
        <v>553</v>
      </c>
      <c r="Q32" s="354"/>
      <c r="R32" s="352" t="s">
        <v>558</v>
      </c>
      <c r="S32" s="353"/>
      <c r="T32" s="354"/>
      <c r="U32" s="352" t="s">
        <v>567</v>
      </c>
      <c r="V32" s="353"/>
      <c r="W32" s="414"/>
    </row>
    <row r="33" spans="1:23" ht="19.5" customHeight="1">
      <c r="A33" s="344"/>
      <c r="B33" s="344"/>
      <c r="C33" s="106" t="s">
        <v>562</v>
      </c>
      <c r="D33" s="322">
        <v>3401</v>
      </c>
      <c r="E33" s="411"/>
      <c r="F33" s="346" t="str">
        <f>VLOOKUP(D33,職業統計!A3:K440,2,FALSE)</f>
        <v>一般事務員</v>
      </c>
      <c r="G33" s="346"/>
      <c r="H33" s="346"/>
      <c r="I33" s="346"/>
      <c r="J33" s="360" t="s">
        <v>618</v>
      </c>
      <c r="K33" s="360"/>
      <c r="L33" s="360"/>
      <c r="M33" s="359">
        <f>VLOOKUP(D33,職業統計!A3:K440,3,FALSE)</f>
        <v>1122</v>
      </c>
      <c r="N33" s="359"/>
      <c r="O33" s="359"/>
      <c r="P33" s="355">
        <f>VLOOKUP(J33,'別添３（都道府県別）'!C7:D487,2,FALSE)/100</f>
        <v>1.0669999999999999</v>
      </c>
      <c r="Q33" s="356"/>
      <c r="R33" s="363">
        <f>M33*P33</f>
        <v>1197.174</v>
      </c>
      <c r="S33" s="364"/>
      <c r="T33" s="365"/>
      <c r="U33" s="415">
        <f>F27-R33</f>
        <v>152.82600000000002</v>
      </c>
      <c r="V33" s="416"/>
      <c r="W33" s="417"/>
    </row>
    <row r="34" spans="1:23" ht="19.5" customHeight="1">
      <c r="A34" s="344"/>
      <c r="B34" s="344"/>
      <c r="C34" s="106" t="s">
        <v>563</v>
      </c>
      <c r="D34" s="322"/>
      <c r="E34" s="411"/>
      <c r="F34" s="346" t="e">
        <f>VLOOKUP(D34,職業統計!A4:K441,2,FALSE)</f>
        <v>#N/A</v>
      </c>
      <c r="G34" s="346"/>
      <c r="H34" s="346"/>
      <c r="I34" s="346"/>
      <c r="J34" s="360"/>
      <c r="K34" s="360"/>
      <c r="L34" s="360"/>
      <c r="M34" s="359" t="e">
        <f>VLOOKUP(D34,職業統計!A4:K441,3,FALSE)</f>
        <v>#N/A</v>
      </c>
      <c r="N34" s="359"/>
      <c r="O34" s="359"/>
      <c r="P34" s="355" t="e">
        <f>VLOOKUP(J34,'別添３（都道府県別）'!C8:D488,2,FALSE)/100</f>
        <v>#N/A</v>
      </c>
      <c r="Q34" s="356"/>
      <c r="R34" s="363" t="e">
        <f t="shared" ref="R34:R36" si="1">M34*P34</f>
        <v>#N/A</v>
      </c>
      <c r="S34" s="364"/>
      <c r="T34" s="365"/>
      <c r="U34" s="418" t="e">
        <f>F28-R34</f>
        <v>#N/A</v>
      </c>
      <c r="V34" s="419"/>
      <c r="W34" s="420"/>
    </row>
    <row r="35" spans="1:23" ht="19.5" customHeight="1">
      <c r="A35" s="344"/>
      <c r="B35" s="344"/>
      <c r="C35" s="106" t="s">
        <v>564</v>
      </c>
      <c r="D35" s="322"/>
      <c r="E35" s="411"/>
      <c r="F35" s="346" t="e">
        <f>VLOOKUP(D35,職業統計!A5:K442,2,FALSE)</f>
        <v>#N/A</v>
      </c>
      <c r="G35" s="346"/>
      <c r="H35" s="346"/>
      <c r="I35" s="346"/>
      <c r="J35" s="360"/>
      <c r="K35" s="360"/>
      <c r="L35" s="360"/>
      <c r="M35" s="359" t="e">
        <f>VLOOKUP(D35,職業統計!A5:K442,3,FALSE)</f>
        <v>#N/A</v>
      </c>
      <c r="N35" s="359"/>
      <c r="O35" s="359"/>
      <c r="P35" s="355" t="e">
        <f>VLOOKUP(J35,'別添３（都道府県別）'!C9:D489,2,FALSE)/100</f>
        <v>#N/A</v>
      </c>
      <c r="Q35" s="356"/>
      <c r="R35" s="363" t="e">
        <f t="shared" si="1"/>
        <v>#N/A</v>
      </c>
      <c r="S35" s="364"/>
      <c r="T35" s="365"/>
      <c r="U35" s="418" t="e">
        <f>F29-R35</f>
        <v>#N/A</v>
      </c>
      <c r="V35" s="419"/>
      <c r="W35" s="420"/>
    </row>
    <row r="36" spans="1:23" ht="19.5" customHeight="1">
      <c r="A36" s="345"/>
      <c r="B36" s="345"/>
      <c r="C36" s="107" t="s">
        <v>565</v>
      </c>
      <c r="D36" s="412"/>
      <c r="E36" s="413"/>
      <c r="F36" s="347" t="e">
        <f>VLOOKUP(D36,職業統計!A6:K443,2,FALSE)</f>
        <v>#N/A</v>
      </c>
      <c r="G36" s="347"/>
      <c r="H36" s="347"/>
      <c r="I36" s="347"/>
      <c r="J36" s="348"/>
      <c r="K36" s="348"/>
      <c r="L36" s="348"/>
      <c r="M36" s="349" t="e">
        <f>VLOOKUP(D36,職業統計!A6:K443,3,FALSE)</f>
        <v>#N/A</v>
      </c>
      <c r="N36" s="349"/>
      <c r="O36" s="349"/>
      <c r="P36" s="357" t="e">
        <f>VLOOKUP(J36,'別添３（都道府県別）'!C10:D490,2,FALSE)/100</f>
        <v>#N/A</v>
      </c>
      <c r="Q36" s="358"/>
      <c r="R36" s="366" t="e">
        <f t="shared" si="1"/>
        <v>#N/A</v>
      </c>
      <c r="S36" s="367"/>
      <c r="T36" s="368"/>
      <c r="U36" s="421" t="e">
        <f>F30-R36</f>
        <v>#N/A</v>
      </c>
      <c r="V36" s="422"/>
      <c r="W36" s="423"/>
    </row>
    <row r="37" spans="1:23" ht="8.25" customHeight="1">
      <c r="A37" s="24"/>
      <c r="B37" s="24"/>
      <c r="C37" s="24"/>
      <c r="D37" s="24"/>
      <c r="E37" s="119"/>
      <c r="F37" s="119"/>
      <c r="G37" s="119"/>
      <c r="H37" s="120"/>
      <c r="I37" s="120"/>
      <c r="J37" s="119"/>
      <c r="K37" s="119"/>
      <c r="L37" s="119"/>
      <c r="M37" s="120"/>
      <c r="N37" s="120"/>
      <c r="O37" s="119"/>
      <c r="P37" s="119"/>
      <c r="Q37" s="119"/>
      <c r="R37" s="120"/>
      <c r="S37" s="120"/>
      <c r="T37" s="25"/>
      <c r="U37" s="25"/>
      <c r="V37" s="26"/>
      <c r="W37" s="27"/>
    </row>
    <row r="38" spans="1:23" ht="19.5" customHeight="1">
      <c r="A38" s="404" t="s">
        <v>75</v>
      </c>
      <c r="B38" s="404"/>
      <c r="C38" s="404"/>
      <c r="D38" s="404"/>
      <c r="E38" s="404"/>
      <c r="F38" s="404"/>
      <c r="G38" s="404"/>
      <c r="H38" s="404"/>
      <c r="I38" s="404"/>
      <c r="J38" s="404"/>
      <c r="K38" s="404"/>
      <c r="L38" s="404"/>
      <c r="M38" s="404"/>
      <c r="N38" s="404"/>
      <c r="O38" s="404"/>
      <c r="P38" s="404"/>
      <c r="Q38" s="404"/>
      <c r="R38" s="404"/>
      <c r="S38" s="404"/>
      <c r="T38" s="404"/>
      <c r="U38" s="404"/>
      <c r="V38" s="404"/>
      <c r="W38" s="404"/>
    </row>
    <row r="39" spans="1:23" ht="19.5" customHeight="1">
      <c r="A39" s="180" t="s">
        <v>1095</v>
      </c>
      <c r="B39" s="177"/>
      <c r="C39" s="177"/>
      <c r="D39" s="177"/>
      <c r="E39" s="177"/>
      <c r="F39" s="177"/>
      <c r="G39" s="177"/>
      <c r="H39" s="177"/>
      <c r="I39" s="177"/>
      <c r="J39" s="177"/>
      <c r="K39" s="177"/>
      <c r="L39" s="177"/>
      <c r="M39" s="177"/>
      <c r="N39" s="177"/>
      <c r="O39" s="177"/>
      <c r="P39" s="177"/>
      <c r="Q39" s="177"/>
      <c r="R39" s="177"/>
      <c r="S39" s="177"/>
      <c r="T39" s="177"/>
      <c r="U39" s="177"/>
      <c r="V39" s="177"/>
      <c r="W39" s="178"/>
    </row>
    <row r="40" spans="1:23" ht="19.5" customHeight="1">
      <c r="A40" s="390" t="s">
        <v>76</v>
      </c>
      <c r="B40" s="390"/>
      <c r="C40" s="390"/>
      <c r="D40" s="390"/>
      <c r="E40" s="390"/>
      <c r="F40" s="390"/>
      <c r="G40" s="390"/>
      <c r="H40" s="390"/>
      <c r="I40" s="390"/>
      <c r="J40" s="390"/>
      <c r="K40" s="390"/>
      <c r="L40" s="390"/>
      <c r="M40" s="390"/>
      <c r="N40" s="390"/>
      <c r="O40" s="390"/>
      <c r="P40" s="390"/>
      <c r="Q40" s="390"/>
      <c r="R40" s="390"/>
      <c r="S40" s="390"/>
      <c r="T40" s="390"/>
      <c r="U40" s="390"/>
      <c r="V40" s="390"/>
      <c r="W40" s="390"/>
    </row>
    <row r="41" spans="1:23" ht="19.5" customHeight="1">
      <c r="A41" s="405" t="s">
        <v>1094</v>
      </c>
      <c r="B41" s="406"/>
      <c r="C41" s="406"/>
      <c r="D41" s="406"/>
      <c r="E41" s="406"/>
      <c r="F41" s="406"/>
      <c r="G41" s="406"/>
      <c r="H41" s="406"/>
      <c r="I41" s="406"/>
      <c r="J41" s="406"/>
      <c r="K41" s="406"/>
      <c r="L41" s="406"/>
      <c r="M41" s="406"/>
      <c r="N41" s="406"/>
      <c r="O41" s="406"/>
      <c r="P41" s="406"/>
      <c r="Q41" s="406"/>
      <c r="R41" s="406"/>
      <c r="S41" s="406"/>
      <c r="T41" s="406"/>
      <c r="U41" s="406"/>
      <c r="V41" s="406"/>
      <c r="W41" s="407"/>
    </row>
    <row r="42" spans="1:23" ht="19.5" customHeight="1">
      <c r="A42" s="408"/>
      <c r="B42" s="409"/>
      <c r="C42" s="409"/>
      <c r="D42" s="409"/>
      <c r="E42" s="409"/>
      <c r="F42" s="409"/>
      <c r="G42" s="409"/>
      <c r="H42" s="409"/>
      <c r="I42" s="409"/>
      <c r="J42" s="409"/>
      <c r="K42" s="409"/>
      <c r="L42" s="409"/>
      <c r="M42" s="409"/>
      <c r="N42" s="409"/>
      <c r="O42" s="409"/>
      <c r="P42" s="409"/>
      <c r="Q42" s="409"/>
      <c r="R42" s="409"/>
      <c r="S42" s="409"/>
      <c r="T42" s="409"/>
      <c r="U42" s="409"/>
      <c r="V42" s="409"/>
      <c r="W42" s="410"/>
    </row>
    <row r="43" spans="1:23" ht="19.5" customHeight="1">
      <c r="A43" s="389" t="s">
        <v>77</v>
      </c>
      <c r="B43" s="390"/>
      <c r="C43" s="390"/>
      <c r="D43" s="390"/>
      <c r="E43" s="390"/>
      <c r="F43" s="390"/>
      <c r="G43" s="390"/>
      <c r="H43" s="390"/>
      <c r="I43" s="390"/>
      <c r="J43" s="390"/>
      <c r="K43" s="390"/>
      <c r="L43" s="390"/>
      <c r="M43" s="390"/>
      <c r="N43" s="390"/>
      <c r="O43" s="390"/>
      <c r="P43" s="390"/>
      <c r="Q43" s="390"/>
      <c r="R43" s="390"/>
      <c r="S43" s="390"/>
      <c r="T43" s="390"/>
      <c r="U43" s="390"/>
      <c r="V43" s="390"/>
      <c r="W43" s="390"/>
    </row>
    <row r="44" spans="1:23" ht="19.5" customHeight="1">
      <c r="A44" s="180"/>
      <c r="B44" s="177"/>
      <c r="C44" s="177"/>
      <c r="D44" s="177"/>
      <c r="E44" s="177"/>
      <c r="F44" s="177"/>
      <c r="G44" s="177"/>
      <c r="H44" s="177"/>
      <c r="I44" s="177"/>
      <c r="J44" s="177"/>
      <c r="K44" s="177"/>
      <c r="L44" s="177"/>
      <c r="M44" s="177"/>
      <c r="N44" s="177"/>
      <c r="O44" s="177"/>
      <c r="P44" s="177"/>
      <c r="Q44" s="177"/>
      <c r="R44" s="177"/>
      <c r="S44" s="177"/>
      <c r="T44" s="177"/>
      <c r="U44" s="177"/>
      <c r="V44" s="177"/>
      <c r="W44" s="178"/>
    </row>
    <row r="45" spans="1:23" ht="19.5" customHeight="1">
      <c r="A45" s="389" t="s">
        <v>78</v>
      </c>
      <c r="B45" s="390"/>
      <c r="C45" s="390"/>
      <c r="D45" s="390"/>
      <c r="E45" s="390"/>
      <c r="F45" s="390"/>
      <c r="G45" s="390"/>
      <c r="H45" s="390"/>
      <c r="I45" s="390"/>
      <c r="J45" s="390"/>
      <c r="K45" s="390"/>
      <c r="L45" s="390"/>
      <c r="M45" s="390"/>
      <c r="N45" s="390"/>
      <c r="O45" s="390"/>
      <c r="P45" s="390"/>
      <c r="Q45" s="390"/>
      <c r="R45" s="390"/>
      <c r="S45" s="390"/>
      <c r="T45" s="390"/>
      <c r="U45" s="390"/>
      <c r="V45" s="390"/>
      <c r="W45" s="390"/>
    </row>
    <row r="46" spans="1:23" ht="19.5" customHeight="1">
      <c r="A46" s="391"/>
      <c r="B46" s="392"/>
      <c r="C46" s="392"/>
      <c r="D46" s="392"/>
      <c r="E46" s="392"/>
      <c r="F46" s="392"/>
      <c r="G46" s="392"/>
      <c r="H46" s="392"/>
      <c r="I46" s="392"/>
      <c r="J46" s="392"/>
      <c r="K46" s="392"/>
      <c r="L46" s="392"/>
      <c r="M46" s="392"/>
      <c r="N46" s="392"/>
      <c r="O46" s="392"/>
      <c r="P46" s="392"/>
      <c r="Q46" s="392"/>
      <c r="R46" s="28"/>
      <c r="S46" s="28"/>
      <c r="T46" s="28"/>
      <c r="U46" s="28"/>
      <c r="V46" s="28"/>
      <c r="W46" s="28"/>
    </row>
    <row r="47" spans="1:23">
      <c r="A47" s="393" t="s">
        <v>79</v>
      </c>
      <c r="B47" s="394"/>
      <c r="C47" s="394"/>
      <c r="D47" s="394"/>
      <c r="E47" s="394"/>
      <c r="F47" s="394"/>
      <c r="G47" s="394"/>
      <c r="H47" s="394"/>
      <c r="I47" s="394"/>
      <c r="J47" s="394"/>
      <c r="K47" s="394"/>
      <c r="L47" s="394"/>
      <c r="M47" s="394"/>
      <c r="N47" s="394"/>
      <c r="O47" s="394"/>
      <c r="P47" s="394"/>
      <c r="Q47" s="394"/>
      <c r="R47" s="394"/>
      <c r="S47" s="394"/>
      <c r="T47" s="394"/>
      <c r="U47" s="394"/>
      <c r="V47" s="394"/>
      <c r="W47" s="394"/>
    </row>
    <row r="48" spans="1:23" ht="18" customHeight="1">
      <c r="A48" s="395"/>
      <c r="B48" s="177"/>
      <c r="C48" s="177"/>
      <c r="D48" s="177"/>
      <c r="E48" s="177"/>
      <c r="F48" s="177"/>
      <c r="G48" s="177"/>
      <c r="H48" s="177"/>
      <c r="I48" s="177"/>
      <c r="J48" s="177"/>
      <c r="K48" s="177"/>
      <c r="L48" s="177"/>
      <c r="M48" s="177"/>
      <c r="N48" s="177"/>
      <c r="O48" s="177"/>
      <c r="P48" s="177"/>
      <c r="Q48" s="177"/>
      <c r="R48" s="177"/>
      <c r="S48" s="177"/>
      <c r="T48" s="177"/>
      <c r="U48" s="177"/>
      <c r="V48" s="177"/>
      <c r="W48" s="178"/>
    </row>
    <row r="49" spans="1:23" ht="18" customHeight="1">
      <c r="A49" s="29"/>
      <c r="B49" s="109"/>
      <c r="C49" s="109"/>
      <c r="D49" s="109"/>
      <c r="E49" s="109"/>
      <c r="F49" s="109"/>
      <c r="G49" s="109"/>
      <c r="H49" s="109"/>
      <c r="I49" s="109"/>
      <c r="J49" s="109"/>
      <c r="K49" s="109"/>
      <c r="L49" s="109"/>
      <c r="M49" s="109"/>
      <c r="N49" s="109"/>
      <c r="O49" s="109"/>
      <c r="P49" s="109"/>
      <c r="Q49" s="109"/>
      <c r="R49" s="109"/>
      <c r="S49" s="109"/>
      <c r="T49" s="109"/>
      <c r="U49" s="109"/>
      <c r="V49" s="109"/>
      <c r="W49" s="109"/>
    </row>
    <row r="50" spans="1:23" ht="18" customHeight="1">
      <c r="A50" s="396" t="s">
        <v>80</v>
      </c>
      <c r="B50" s="397"/>
      <c r="C50" s="397"/>
      <c r="D50" s="397"/>
      <c r="E50" s="397"/>
      <c r="F50" s="398"/>
      <c r="G50" s="30"/>
      <c r="H50" s="30"/>
      <c r="I50" s="399" t="s">
        <v>81</v>
      </c>
      <c r="J50" s="400"/>
      <c r="K50" s="401"/>
      <c r="L50" s="25"/>
      <c r="M50" s="25"/>
      <c r="N50" s="31"/>
      <c r="O50" s="399" t="s">
        <v>82</v>
      </c>
      <c r="P50" s="402"/>
      <c r="Q50" s="403"/>
      <c r="R50" s="166" t="s">
        <v>83</v>
      </c>
      <c r="S50" s="179"/>
      <c r="T50" s="167"/>
      <c r="U50" s="150" t="s">
        <v>84</v>
      </c>
      <c r="V50" s="179"/>
      <c r="W50" s="167"/>
    </row>
    <row r="51" spans="1:23" ht="18" customHeight="1">
      <c r="A51" s="371"/>
      <c r="B51" s="372"/>
      <c r="C51" s="372"/>
      <c r="D51" s="372"/>
      <c r="E51" s="372"/>
      <c r="F51" s="373"/>
      <c r="G51" s="30"/>
      <c r="H51" s="30"/>
      <c r="I51" s="380"/>
      <c r="J51" s="381"/>
      <c r="K51" s="382"/>
      <c r="L51" s="121"/>
      <c r="M51" s="121"/>
      <c r="N51" s="122"/>
      <c r="O51" s="383"/>
      <c r="P51" s="384"/>
      <c r="Q51" s="385"/>
      <c r="R51" s="383" t="s">
        <v>85</v>
      </c>
      <c r="S51" s="384"/>
      <c r="T51" s="385"/>
      <c r="U51" s="383" t="s">
        <v>1088</v>
      </c>
      <c r="V51" s="384"/>
      <c r="W51" s="385"/>
    </row>
    <row r="52" spans="1:23" ht="18" customHeight="1">
      <c r="A52" s="374"/>
      <c r="B52" s="375"/>
      <c r="C52" s="375"/>
      <c r="D52" s="375"/>
      <c r="E52" s="375"/>
      <c r="F52" s="376"/>
      <c r="G52" s="30"/>
      <c r="H52" s="30"/>
      <c r="I52" s="383"/>
      <c r="J52" s="384"/>
      <c r="K52" s="385"/>
      <c r="L52" s="121"/>
      <c r="M52" s="121"/>
      <c r="N52" s="122"/>
      <c r="O52" s="383"/>
      <c r="P52" s="384"/>
      <c r="Q52" s="385"/>
      <c r="R52" s="383"/>
      <c r="S52" s="384"/>
      <c r="T52" s="385"/>
      <c r="U52" s="383"/>
      <c r="V52" s="384"/>
      <c r="W52" s="385"/>
    </row>
    <row r="53" spans="1:23" ht="28">
      <c r="A53" s="374"/>
      <c r="B53" s="375"/>
      <c r="C53" s="375"/>
      <c r="D53" s="375"/>
      <c r="E53" s="375"/>
      <c r="F53" s="376"/>
      <c r="G53" s="30"/>
      <c r="H53" s="30"/>
      <c r="I53" s="383"/>
      <c r="J53" s="384"/>
      <c r="K53" s="385"/>
      <c r="L53" s="121"/>
      <c r="M53" s="121"/>
      <c r="N53" s="122"/>
      <c r="O53" s="383"/>
      <c r="P53" s="384"/>
      <c r="Q53" s="385"/>
      <c r="R53" s="383"/>
      <c r="S53" s="384"/>
      <c r="T53" s="385"/>
      <c r="U53" s="383"/>
      <c r="V53" s="384"/>
      <c r="W53" s="385"/>
    </row>
    <row r="54" spans="1:23" ht="28">
      <c r="A54" s="377"/>
      <c r="B54" s="378"/>
      <c r="C54" s="378"/>
      <c r="D54" s="378"/>
      <c r="E54" s="378"/>
      <c r="F54" s="379"/>
      <c r="G54" s="30"/>
      <c r="H54" s="32"/>
      <c r="I54" s="386"/>
      <c r="J54" s="387"/>
      <c r="K54" s="388"/>
      <c r="L54" s="121"/>
      <c r="M54" s="121"/>
      <c r="N54" s="122"/>
      <c r="O54" s="386"/>
      <c r="P54" s="387"/>
      <c r="Q54" s="388"/>
      <c r="R54" s="386"/>
      <c r="S54" s="387"/>
      <c r="T54" s="388"/>
      <c r="U54" s="386"/>
      <c r="V54" s="387"/>
      <c r="W54" s="388"/>
    </row>
    <row r="55" spans="1:23">
      <c r="W55" s="33"/>
    </row>
  </sheetData>
  <sheetProtection algorithmName="SHA-512" hashValue="iju4ako8G5XR1zGxSMtaUCbmAAyJE7Ij/hu19pF/QR1mEvfkn+QqpgnVZhKm/6JwsVCh6fp8ZIhlSp9/fIUvyQ==" saltValue="gEl9DC77Mqsz8NOXBYg0Tg==" spinCount="100000" sheet="1" objects="1" scenarios="1"/>
  <mergeCells count="243">
    <mergeCell ref="U32:W32"/>
    <mergeCell ref="U33:W33"/>
    <mergeCell ref="U34:W34"/>
    <mergeCell ref="U35:W35"/>
    <mergeCell ref="U36:W36"/>
    <mergeCell ref="D7:I7"/>
    <mergeCell ref="A7:C7"/>
    <mergeCell ref="A31:C31"/>
    <mergeCell ref="D33:E33"/>
    <mergeCell ref="D34:E34"/>
    <mergeCell ref="F33:I33"/>
    <mergeCell ref="J34:L34"/>
    <mergeCell ref="P32:Q32"/>
    <mergeCell ref="P33:Q33"/>
    <mergeCell ref="P34:Q34"/>
    <mergeCell ref="D31:E31"/>
    <mergeCell ref="F31:G31"/>
    <mergeCell ref="V31:W31"/>
    <mergeCell ref="T31:U31"/>
    <mergeCell ref="R31:S31"/>
    <mergeCell ref="P31:Q31"/>
    <mergeCell ref="H31:I31"/>
    <mergeCell ref="J31:K31"/>
    <mergeCell ref="L31:M31"/>
    <mergeCell ref="N31:O31"/>
    <mergeCell ref="A51:F54"/>
    <mergeCell ref="I51:K54"/>
    <mergeCell ref="O51:Q54"/>
    <mergeCell ref="R51:T54"/>
    <mergeCell ref="U51:W54"/>
    <mergeCell ref="A44:W44"/>
    <mergeCell ref="A45:W45"/>
    <mergeCell ref="A46:Q46"/>
    <mergeCell ref="A47:W47"/>
    <mergeCell ref="A48:W48"/>
    <mergeCell ref="A50:F50"/>
    <mergeCell ref="I50:K50"/>
    <mergeCell ref="O50:Q50"/>
    <mergeCell ref="R50:T50"/>
    <mergeCell ref="U50:W50"/>
    <mergeCell ref="A38:W38"/>
    <mergeCell ref="A39:W39"/>
    <mergeCell ref="A40:W40"/>
    <mergeCell ref="A41:W41"/>
    <mergeCell ref="A42:W42"/>
    <mergeCell ref="A43:W43"/>
    <mergeCell ref="D35:E35"/>
    <mergeCell ref="D36:E36"/>
    <mergeCell ref="A32:B36"/>
    <mergeCell ref="F35:I35"/>
    <mergeCell ref="F36:I36"/>
    <mergeCell ref="J36:L36"/>
    <mergeCell ref="M36:O36"/>
    <mergeCell ref="D32:E32"/>
    <mergeCell ref="F32:I32"/>
    <mergeCell ref="R32:T32"/>
    <mergeCell ref="P35:Q35"/>
    <mergeCell ref="P36:Q36"/>
    <mergeCell ref="M34:O34"/>
    <mergeCell ref="J33:L33"/>
    <mergeCell ref="M33:O33"/>
    <mergeCell ref="F34:I34"/>
    <mergeCell ref="J32:L32"/>
    <mergeCell ref="M32:O32"/>
    <mergeCell ref="R33:T33"/>
    <mergeCell ref="R34:T34"/>
    <mergeCell ref="J35:L35"/>
    <mergeCell ref="M35:O35"/>
    <mergeCell ref="R35:T35"/>
    <mergeCell ref="R36:T36"/>
    <mergeCell ref="N30:O30"/>
    <mergeCell ref="P30:Q30"/>
    <mergeCell ref="R30:S30"/>
    <mergeCell ref="T30:U30"/>
    <mergeCell ref="V30:W30"/>
    <mergeCell ref="L30:M30"/>
    <mergeCell ref="B30:C30"/>
    <mergeCell ref="D30:E30"/>
    <mergeCell ref="F30:G30"/>
    <mergeCell ref="H30:I30"/>
    <mergeCell ref="J30:K30"/>
    <mergeCell ref="L29:M29"/>
    <mergeCell ref="N29:O29"/>
    <mergeCell ref="P29:Q29"/>
    <mergeCell ref="R29:S29"/>
    <mergeCell ref="T29:U29"/>
    <mergeCell ref="V29:W29"/>
    <mergeCell ref="N28:O28"/>
    <mergeCell ref="P28:Q28"/>
    <mergeCell ref="R28:S28"/>
    <mergeCell ref="T28:U28"/>
    <mergeCell ref="V28:W28"/>
    <mergeCell ref="L28:M28"/>
    <mergeCell ref="B29:C29"/>
    <mergeCell ref="D29:E29"/>
    <mergeCell ref="F29:G29"/>
    <mergeCell ref="H29:I29"/>
    <mergeCell ref="J29:K29"/>
    <mergeCell ref="B28:C28"/>
    <mergeCell ref="D28:E28"/>
    <mergeCell ref="F28:G28"/>
    <mergeCell ref="H28:I28"/>
    <mergeCell ref="J28:K28"/>
    <mergeCell ref="L27:M27"/>
    <mergeCell ref="N27:O27"/>
    <mergeCell ref="P27:Q27"/>
    <mergeCell ref="R27:S27"/>
    <mergeCell ref="T27:U27"/>
    <mergeCell ref="V27:W27"/>
    <mergeCell ref="N26:O26"/>
    <mergeCell ref="P26:Q26"/>
    <mergeCell ref="R26:S26"/>
    <mergeCell ref="T26:U26"/>
    <mergeCell ref="V26:W26"/>
    <mergeCell ref="L26:M26"/>
    <mergeCell ref="B27:C27"/>
    <mergeCell ref="D27:E27"/>
    <mergeCell ref="F27:G27"/>
    <mergeCell ref="H27:I27"/>
    <mergeCell ref="J27:K27"/>
    <mergeCell ref="A26:C26"/>
    <mergeCell ref="D26:E26"/>
    <mergeCell ref="F26:G26"/>
    <mergeCell ref="H26:I26"/>
    <mergeCell ref="J26:K26"/>
    <mergeCell ref="V23:W23"/>
    <mergeCell ref="A24:C24"/>
    <mergeCell ref="D24:I24"/>
    <mergeCell ref="J24:K24"/>
    <mergeCell ref="L24:M24"/>
    <mergeCell ref="N24:Q24"/>
    <mergeCell ref="R24:S24"/>
    <mergeCell ref="T24:W24"/>
    <mergeCell ref="E23:F23"/>
    <mergeCell ref="H23:I23"/>
    <mergeCell ref="J23:K23"/>
    <mergeCell ref="M23:N23"/>
    <mergeCell ref="P23:Q23"/>
    <mergeCell ref="S23:T23"/>
    <mergeCell ref="H22:I22"/>
    <mergeCell ref="J22:K22"/>
    <mergeCell ref="M22:N22"/>
    <mergeCell ref="P22:Q22"/>
    <mergeCell ref="S22:T22"/>
    <mergeCell ref="V22:W22"/>
    <mergeCell ref="E21:F21"/>
    <mergeCell ref="H21:I21"/>
    <mergeCell ref="J21:K21"/>
    <mergeCell ref="M21:N21"/>
    <mergeCell ref="P21:Q21"/>
    <mergeCell ref="S21:T21"/>
    <mergeCell ref="H20:I20"/>
    <mergeCell ref="J20:K20"/>
    <mergeCell ref="M20:N20"/>
    <mergeCell ref="P20:Q20"/>
    <mergeCell ref="S20:T20"/>
    <mergeCell ref="V20:W20"/>
    <mergeCell ref="T18:U18"/>
    <mergeCell ref="V18:W18"/>
    <mergeCell ref="A19:C23"/>
    <mergeCell ref="D19:I19"/>
    <mergeCell ref="J19:L19"/>
    <mergeCell ref="M19:O19"/>
    <mergeCell ref="P19:R19"/>
    <mergeCell ref="S19:U19"/>
    <mergeCell ref="V19:W19"/>
    <mergeCell ref="E20:F20"/>
    <mergeCell ref="A18:C18"/>
    <mergeCell ref="E18:F18"/>
    <mergeCell ref="H18:I18"/>
    <mergeCell ref="L18:M18"/>
    <mergeCell ref="O18:P18"/>
    <mergeCell ref="R18:S18"/>
    <mergeCell ref="V21:W21"/>
    <mergeCell ref="E22:F22"/>
    <mergeCell ref="A16:C16"/>
    <mergeCell ref="D16:G16"/>
    <mergeCell ref="H16:I16"/>
    <mergeCell ref="J16:Q16"/>
    <mergeCell ref="R16:S16"/>
    <mergeCell ref="T16:W16"/>
    <mergeCell ref="A17:C17"/>
    <mergeCell ref="D17:F17"/>
    <mergeCell ref="G17:I17"/>
    <mergeCell ref="J17:L17"/>
    <mergeCell ref="M17:O17"/>
    <mergeCell ref="P17:R17"/>
    <mergeCell ref="S17:T17"/>
    <mergeCell ref="U17:W17"/>
    <mergeCell ref="P12:Q12"/>
    <mergeCell ref="R12:S12"/>
    <mergeCell ref="T12:W12"/>
    <mergeCell ref="A13:C14"/>
    <mergeCell ref="D13:E13"/>
    <mergeCell ref="F13:G13"/>
    <mergeCell ref="H13:I13"/>
    <mergeCell ref="J13:K13"/>
    <mergeCell ref="L13:W13"/>
    <mergeCell ref="D14:F14"/>
    <mergeCell ref="A12:C12"/>
    <mergeCell ref="D12:G12"/>
    <mergeCell ref="H12:I12"/>
    <mergeCell ref="J12:K12"/>
    <mergeCell ref="L12:M12"/>
    <mergeCell ref="N12:O12"/>
    <mergeCell ref="G14:K14"/>
    <mergeCell ref="L14:M14"/>
    <mergeCell ref="N14:R14"/>
    <mergeCell ref="S14:T14"/>
    <mergeCell ref="U14:W14"/>
    <mergeCell ref="A10:C10"/>
    <mergeCell ref="E10:G10"/>
    <mergeCell ref="H10:W10"/>
    <mergeCell ref="A11:C11"/>
    <mergeCell ref="D11:L11"/>
    <mergeCell ref="M11:N11"/>
    <mergeCell ref="O11:W11"/>
    <mergeCell ref="N7:P7"/>
    <mergeCell ref="Q7:W7"/>
    <mergeCell ref="A9:C9"/>
    <mergeCell ref="D9:M9"/>
    <mergeCell ref="N9:O9"/>
    <mergeCell ref="P9:W9"/>
    <mergeCell ref="A1:W1"/>
    <mergeCell ref="A3:C3"/>
    <mergeCell ref="D3:I3"/>
    <mergeCell ref="N3:P3"/>
    <mergeCell ref="Q3:S3"/>
    <mergeCell ref="U3:W3"/>
    <mergeCell ref="A6:C6"/>
    <mergeCell ref="D6:I6"/>
    <mergeCell ref="N6:P6"/>
    <mergeCell ref="Q6:S6"/>
    <mergeCell ref="T6:U6"/>
    <mergeCell ref="V6:W6"/>
    <mergeCell ref="A4:C4"/>
    <mergeCell ref="D4:I4"/>
    <mergeCell ref="N4:P4"/>
    <mergeCell ref="Q4:W4"/>
    <mergeCell ref="A5:C5"/>
    <mergeCell ref="D5:I5"/>
    <mergeCell ref="N5:P5"/>
    <mergeCell ref="Q5:R5"/>
  </mergeCells>
  <phoneticPr fontId="4"/>
  <dataValidations count="10">
    <dataValidation type="list" allowBlank="1" showInputMessage="1" showErrorMessage="1" sqref="V6:W6 JR6:JS6 TN6:TO6 ADJ6:ADK6 ANF6:ANG6 AXB6:AXC6 BGX6:BGY6 BQT6:BQU6 CAP6:CAQ6 CKL6:CKM6 CUH6:CUI6 DED6:DEE6 DNZ6:DOA6 DXV6:DXW6 EHR6:EHS6 ERN6:ERO6 FBJ6:FBK6 FLF6:FLG6 FVB6:FVC6 GEX6:GEY6 GOT6:GOU6 GYP6:GYQ6 HIL6:HIM6 HSH6:HSI6 ICD6:ICE6 ILZ6:IMA6 IVV6:IVW6 JFR6:JFS6 JPN6:JPO6 JZJ6:JZK6 KJF6:KJG6 KTB6:KTC6 LCX6:LCY6 LMT6:LMU6 LWP6:LWQ6 MGL6:MGM6 MQH6:MQI6 NAD6:NAE6 NJZ6:NKA6 NTV6:NTW6 ODR6:ODS6 ONN6:ONO6 OXJ6:OXK6 PHF6:PHG6 PRB6:PRC6 QAX6:QAY6 QKT6:QKU6 QUP6:QUQ6 REL6:REM6 ROH6:ROI6 RYD6:RYE6 SHZ6:SIA6 SRV6:SRW6 TBR6:TBS6 TLN6:TLO6 TVJ6:TVK6 UFF6:UFG6 UPB6:UPC6 UYX6:UYY6 VIT6:VIU6 VSP6:VSQ6 WCL6:WCM6 WMH6:WMI6 WWD6:WWE6 V65541:W65541 JR65541:JS65541 TN65541:TO65541 ADJ65541:ADK65541 ANF65541:ANG65541 AXB65541:AXC65541 BGX65541:BGY65541 BQT65541:BQU65541 CAP65541:CAQ65541 CKL65541:CKM65541 CUH65541:CUI65541 DED65541:DEE65541 DNZ65541:DOA65541 DXV65541:DXW65541 EHR65541:EHS65541 ERN65541:ERO65541 FBJ65541:FBK65541 FLF65541:FLG65541 FVB65541:FVC65541 GEX65541:GEY65541 GOT65541:GOU65541 GYP65541:GYQ65541 HIL65541:HIM65541 HSH65541:HSI65541 ICD65541:ICE65541 ILZ65541:IMA65541 IVV65541:IVW65541 JFR65541:JFS65541 JPN65541:JPO65541 JZJ65541:JZK65541 KJF65541:KJG65541 KTB65541:KTC65541 LCX65541:LCY65541 LMT65541:LMU65541 LWP65541:LWQ65541 MGL65541:MGM65541 MQH65541:MQI65541 NAD65541:NAE65541 NJZ65541:NKA65541 NTV65541:NTW65541 ODR65541:ODS65541 ONN65541:ONO65541 OXJ65541:OXK65541 PHF65541:PHG65541 PRB65541:PRC65541 QAX65541:QAY65541 QKT65541:QKU65541 QUP65541:QUQ65541 REL65541:REM65541 ROH65541:ROI65541 RYD65541:RYE65541 SHZ65541:SIA65541 SRV65541:SRW65541 TBR65541:TBS65541 TLN65541:TLO65541 TVJ65541:TVK65541 UFF65541:UFG65541 UPB65541:UPC65541 UYX65541:UYY65541 VIT65541:VIU65541 VSP65541:VSQ65541 WCL65541:WCM65541 WMH65541:WMI65541 WWD65541:WWE65541 V131077:W131077 JR131077:JS131077 TN131077:TO131077 ADJ131077:ADK131077 ANF131077:ANG131077 AXB131077:AXC131077 BGX131077:BGY131077 BQT131077:BQU131077 CAP131077:CAQ131077 CKL131077:CKM131077 CUH131077:CUI131077 DED131077:DEE131077 DNZ131077:DOA131077 DXV131077:DXW131077 EHR131077:EHS131077 ERN131077:ERO131077 FBJ131077:FBK131077 FLF131077:FLG131077 FVB131077:FVC131077 GEX131077:GEY131077 GOT131077:GOU131077 GYP131077:GYQ131077 HIL131077:HIM131077 HSH131077:HSI131077 ICD131077:ICE131077 ILZ131077:IMA131077 IVV131077:IVW131077 JFR131077:JFS131077 JPN131077:JPO131077 JZJ131077:JZK131077 KJF131077:KJG131077 KTB131077:KTC131077 LCX131077:LCY131077 LMT131077:LMU131077 LWP131077:LWQ131077 MGL131077:MGM131077 MQH131077:MQI131077 NAD131077:NAE131077 NJZ131077:NKA131077 NTV131077:NTW131077 ODR131077:ODS131077 ONN131077:ONO131077 OXJ131077:OXK131077 PHF131077:PHG131077 PRB131077:PRC131077 QAX131077:QAY131077 QKT131077:QKU131077 QUP131077:QUQ131077 REL131077:REM131077 ROH131077:ROI131077 RYD131077:RYE131077 SHZ131077:SIA131077 SRV131077:SRW131077 TBR131077:TBS131077 TLN131077:TLO131077 TVJ131077:TVK131077 UFF131077:UFG131077 UPB131077:UPC131077 UYX131077:UYY131077 VIT131077:VIU131077 VSP131077:VSQ131077 WCL131077:WCM131077 WMH131077:WMI131077 WWD131077:WWE131077 V196613:W196613 JR196613:JS196613 TN196613:TO196613 ADJ196613:ADK196613 ANF196613:ANG196613 AXB196613:AXC196613 BGX196613:BGY196613 BQT196613:BQU196613 CAP196613:CAQ196613 CKL196613:CKM196613 CUH196613:CUI196613 DED196613:DEE196613 DNZ196613:DOA196613 DXV196613:DXW196613 EHR196613:EHS196613 ERN196613:ERO196613 FBJ196613:FBK196613 FLF196613:FLG196613 FVB196613:FVC196613 GEX196613:GEY196613 GOT196613:GOU196613 GYP196613:GYQ196613 HIL196613:HIM196613 HSH196613:HSI196613 ICD196613:ICE196613 ILZ196613:IMA196613 IVV196613:IVW196613 JFR196613:JFS196613 JPN196613:JPO196613 JZJ196613:JZK196613 KJF196613:KJG196613 KTB196613:KTC196613 LCX196613:LCY196613 LMT196613:LMU196613 LWP196613:LWQ196613 MGL196613:MGM196613 MQH196613:MQI196613 NAD196613:NAE196613 NJZ196613:NKA196613 NTV196613:NTW196613 ODR196613:ODS196613 ONN196613:ONO196613 OXJ196613:OXK196613 PHF196613:PHG196613 PRB196613:PRC196613 QAX196613:QAY196613 QKT196613:QKU196613 QUP196613:QUQ196613 REL196613:REM196613 ROH196613:ROI196613 RYD196613:RYE196613 SHZ196613:SIA196613 SRV196613:SRW196613 TBR196613:TBS196613 TLN196613:TLO196613 TVJ196613:TVK196613 UFF196613:UFG196613 UPB196613:UPC196613 UYX196613:UYY196613 VIT196613:VIU196613 VSP196613:VSQ196613 WCL196613:WCM196613 WMH196613:WMI196613 WWD196613:WWE196613 V262149:W262149 JR262149:JS262149 TN262149:TO262149 ADJ262149:ADK262149 ANF262149:ANG262149 AXB262149:AXC262149 BGX262149:BGY262149 BQT262149:BQU262149 CAP262149:CAQ262149 CKL262149:CKM262149 CUH262149:CUI262149 DED262149:DEE262149 DNZ262149:DOA262149 DXV262149:DXW262149 EHR262149:EHS262149 ERN262149:ERO262149 FBJ262149:FBK262149 FLF262149:FLG262149 FVB262149:FVC262149 GEX262149:GEY262149 GOT262149:GOU262149 GYP262149:GYQ262149 HIL262149:HIM262149 HSH262149:HSI262149 ICD262149:ICE262149 ILZ262149:IMA262149 IVV262149:IVW262149 JFR262149:JFS262149 JPN262149:JPO262149 JZJ262149:JZK262149 KJF262149:KJG262149 KTB262149:KTC262149 LCX262149:LCY262149 LMT262149:LMU262149 LWP262149:LWQ262149 MGL262149:MGM262149 MQH262149:MQI262149 NAD262149:NAE262149 NJZ262149:NKA262149 NTV262149:NTW262149 ODR262149:ODS262149 ONN262149:ONO262149 OXJ262149:OXK262149 PHF262149:PHG262149 PRB262149:PRC262149 QAX262149:QAY262149 QKT262149:QKU262149 QUP262149:QUQ262149 REL262149:REM262149 ROH262149:ROI262149 RYD262149:RYE262149 SHZ262149:SIA262149 SRV262149:SRW262149 TBR262149:TBS262149 TLN262149:TLO262149 TVJ262149:TVK262149 UFF262149:UFG262149 UPB262149:UPC262149 UYX262149:UYY262149 VIT262149:VIU262149 VSP262149:VSQ262149 WCL262149:WCM262149 WMH262149:WMI262149 WWD262149:WWE262149 V327685:W327685 JR327685:JS327685 TN327685:TO327685 ADJ327685:ADK327685 ANF327685:ANG327685 AXB327685:AXC327685 BGX327685:BGY327685 BQT327685:BQU327685 CAP327685:CAQ327685 CKL327685:CKM327685 CUH327685:CUI327685 DED327685:DEE327685 DNZ327685:DOA327685 DXV327685:DXW327685 EHR327685:EHS327685 ERN327685:ERO327685 FBJ327685:FBK327685 FLF327685:FLG327685 FVB327685:FVC327685 GEX327685:GEY327685 GOT327685:GOU327685 GYP327685:GYQ327685 HIL327685:HIM327685 HSH327685:HSI327685 ICD327685:ICE327685 ILZ327685:IMA327685 IVV327685:IVW327685 JFR327685:JFS327685 JPN327685:JPO327685 JZJ327685:JZK327685 KJF327685:KJG327685 KTB327685:KTC327685 LCX327685:LCY327685 LMT327685:LMU327685 LWP327685:LWQ327685 MGL327685:MGM327685 MQH327685:MQI327685 NAD327685:NAE327685 NJZ327685:NKA327685 NTV327685:NTW327685 ODR327685:ODS327685 ONN327685:ONO327685 OXJ327685:OXK327685 PHF327685:PHG327685 PRB327685:PRC327685 QAX327685:QAY327685 QKT327685:QKU327685 QUP327685:QUQ327685 REL327685:REM327685 ROH327685:ROI327685 RYD327685:RYE327685 SHZ327685:SIA327685 SRV327685:SRW327685 TBR327685:TBS327685 TLN327685:TLO327685 TVJ327685:TVK327685 UFF327685:UFG327685 UPB327685:UPC327685 UYX327685:UYY327685 VIT327685:VIU327685 VSP327685:VSQ327685 WCL327685:WCM327685 WMH327685:WMI327685 WWD327685:WWE327685 V393221:W393221 JR393221:JS393221 TN393221:TO393221 ADJ393221:ADK393221 ANF393221:ANG393221 AXB393221:AXC393221 BGX393221:BGY393221 BQT393221:BQU393221 CAP393221:CAQ393221 CKL393221:CKM393221 CUH393221:CUI393221 DED393221:DEE393221 DNZ393221:DOA393221 DXV393221:DXW393221 EHR393221:EHS393221 ERN393221:ERO393221 FBJ393221:FBK393221 FLF393221:FLG393221 FVB393221:FVC393221 GEX393221:GEY393221 GOT393221:GOU393221 GYP393221:GYQ393221 HIL393221:HIM393221 HSH393221:HSI393221 ICD393221:ICE393221 ILZ393221:IMA393221 IVV393221:IVW393221 JFR393221:JFS393221 JPN393221:JPO393221 JZJ393221:JZK393221 KJF393221:KJG393221 KTB393221:KTC393221 LCX393221:LCY393221 LMT393221:LMU393221 LWP393221:LWQ393221 MGL393221:MGM393221 MQH393221:MQI393221 NAD393221:NAE393221 NJZ393221:NKA393221 NTV393221:NTW393221 ODR393221:ODS393221 ONN393221:ONO393221 OXJ393221:OXK393221 PHF393221:PHG393221 PRB393221:PRC393221 QAX393221:QAY393221 QKT393221:QKU393221 QUP393221:QUQ393221 REL393221:REM393221 ROH393221:ROI393221 RYD393221:RYE393221 SHZ393221:SIA393221 SRV393221:SRW393221 TBR393221:TBS393221 TLN393221:TLO393221 TVJ393221:TVK393221 UFF393221:UFG393221 UPB393221:UPC393221 UYX393221:UYY393221 VIT393221:VIU393221 VSP393221:VSQ393221 WCL393221:WCM393221 WMH393221:WMI393221 WWD393221:WWE393221 V458757:W458757 JR458757:JS458757 TN458757:TO458757 ADJ458757:ADK458757 ANF458757:ANG458757 AXB458757:AXC458757 BGX458757:BGY458757 BQT458757:BQU458757 CAP458757:CAQ458757 CKL458757:CKM458757 CUH458757:CUI458757 DED458757:DEE458757 DNZ458757:DOA458757 DXV458757:DXW458757 EHR458757:EHS458757 ERN458757:ERO458757 FBJ458757:FBK458757 FLF458757:FLG458757 FVB458757:FVC458757 GEX458757:GEY458757 GOT458757:GOU458757 GYP458757:GYQ458757 HIL458757:HIM458757 HSH458757:HSI458757 ICD458757:ICE458757 ILZ458757:IMA458757 IVV458757:IVW458757 JFR458757:JFS458757 JPN458757:JPO458757 JZJ458757:JZK458757 KJF458757:KJG458757 KTB458757:KTC458757 LCX458757:LCY458757 LMT458757:LMU458757 LWP458757:LWQ458757 MGL458757:MGM458757 MQH458757:MQI458757 NAD458757:NAE458757 NJZ458757:NKA458757 NTV458757:NTW458757 ODR458757:ODS458757 ONN458757:ONO458757 OXJ458757:OXK458757 PHF458757:PHG458757 PRB458757:PRC458757 QAX458757:QAY458757 QKT458757:QKU458757 QUP458757:QUQ458757 REL458757:REM458757 ROH458757:ROI458757 RYD458757:RYE458757 SHZ458757:SIA458757 SRV458757:SRW458757 TBR458757:TBS458757 TLN458757:TLO458757 TVJ458757:TVK458757 UFF458757:UFG458757 UPB458757:UPC458757 UYX458757:UYY458757 VIT458757:VIU458757 VSP458757:VSQ458757 WCL458757:WCM458757 WMH458757:WMI458757 WWD458757:WWE458757 V524293:W524293 JR524293:JS524293 TN524293:TO524293 ADJ524293:ADK524293 ANF524293:ANG524293 AXB524293:AXC524293 BGX524293:BGY524293 BQT524293:BQU524293 CAP524293:CAQ524293 CKL524293:CKM524293 CUH524293:CUI524293 DED524293:DEE524293 DNZ524293:DOA524293 DXV524293:DXW524293 EHR524293:EHS524293 ERN524293:ERO524293 FBJ524293:FBK524293 FLF524293:FLG524293 FVB524293:FVC524293 GEX524293:GEY524293 GOT524293:GOU524293 GYP524293:GYQ524293 HIL524293:HIM524293 HSH524293:HSI524293 ICD524293:ICE524293 ILZ524293:IMA524293 IVV524293:IVW524293 JFR524293:JFS524293 JPN524293:JPO524293 JZJ524293:JZK524293 KJF524293:KJG524293 KTB524293:KTC524293 LCX524293:LCY524293 LMT524293:LMU524293 LWP524293:LWQ524293 MGL524293:MGM524293 MQH524293:MQI524293 NAD524293:NAE524293 NJZ524293:NKA524293 NTV524293:NTW524293 ODR524293:ODS524293 ONN524293:ONO524293 OXJ524293:OXK524293 PHF524293:PHG524293 PRB524293:PRC524293 QAX524293:QAY524293 QKT524293:QKU524293 QUP524293:QUQ524293 REL524293:REM524293 ROH524293:ROI524293 RYD524293:RYE524293 SHZ524293:SIA524293 SRV524293:SRW524293 TBR524293:TBS524293 TLN524293:TLO524293 TVJ524293:TVK524293 UFF524293:UFG524293 UPB524293:UPC524293 UYX524293:UYY524293 VIT524293:VIU524293 VSP524293:VSQ524293 WCL524293:WCM524293 WMH524293:WMI524293 WWD524293:WWE524293 V589829:W589829 JR589829:JS589829 TN589829:TO589829 ADJ589829:ADK589829 ANF589829:ANG589829 AXB589829:AXC589829 BGX589829:BGY589829 BQT589829:BQU589829 CAP589829:CAQ589829 CKL589829:CKM589829 CUH589829:CUI589829 DED589829:DEE589829 DNZ589829:DOA589829 DXV589829:DXW589829 EHR589829:EHS589829 ERN589829:ERO589829 FBJ589829:FBK589829 FLF589829:FLG589829 FVB589829:FVC589829 GEX589829:GEY589829 GOT589829:GOU589829 GYP589829:GYQ589829 HIL589829:HIM589829 HSH589829:HSI589829 ICD589829:ICE589829 ILZ589829:IMA589829 IVV589829:IVW589829 JFR589829:JFS589829 JPN589829:JPO589829 JZJ589829:JZK589829 KJF589829:KJG589829 KTB589829:KTC589829 LCX589829:LCY589829 LMT589829:LMU589829 LWP589829:LWQ589829 MGL589829:MGM589829 MQH589829:MQI589829 NAD589829:NAE589829 NJZ589829:NKA589829 NTV589829:NTW589829 ODR589829:ODS589829 ONN589829:ONO589829 OXJ589829:OXK589829 PHF589829:PHG589829 PRB589829:PRC589829 QAX589829:QAY589829 QKT589829:QKU589829 QUP589829:QUQ589829 REL589829:REM589829 ROH589829:ROI589829 RYD589829:RYE589829 SHZ589829:SIA589829 SRV589829:SRW589829 TBR589829:TBS589829 TLN589829:TLO589829 TVJ589829:TVK589829 UFF589829:UFG589829 UPB589829:UPC589829 UYX589829:UYY589829 VIT589829:VIU589829 VSP589829:VSQ589829 WCL589829:WCM589829 WMH589829:WMI589829 WWD589829:WWE589829 V655365:W655365 JR655365:JS655365 TN655365:TO655365 ADJ655365:ADK655365 ANF655365:ANG655365 AXB655365:AXC655365 BGX655365:BGY655365 BQT655365:BQU655365 CAP655365:CAQ655365 CKL655365:CKM655365 CUH655365:CUI655365 DED655365:DEE655365 DNZ655365:DOA655365 DXV655365:DXW655365 EHR655365:EHS655365 ERN655365:ERO655365 FBJ655365:FBK655365 FLF655365:FLG655365 FVB655365:FVC655365 GEX655365:GEY655365 GOT655365:GOU655365 GYP655365:GYQ655365 HIL655365:HIM655365 HSH655365:HSI655365 ICD655365:ICE655365 ILZ655365:IMA655365 IVV655365:IVW655365 JFR655365:JFS655365 JPN655365:JPO655365 JZJ655365:JZK655365 KJF655365:KJG655365 KTB655365:KTC655365 LCX655365:LCY655365 LMT655365:LMU655365 LWP655365:LWQ655365 MGL655365:MGM655365 MQH655365:MQI655365 NAD655365:NAE655365 NJZ655365:NKA655365 NTV655365:NTW655365 ODR655365:ODS655365 ONN655365:ONO655365 OXJ655365:OXK655365 PHF655365:PHG655365 PRB655365:PRC655365 QAX655365:QAY655365 QKT655365:QKU655365 QUP655365:QUQ655365 REL655365:REM655365 ROH655365:ROI655365 RYD655365:RYE655365 SHZ655365:SIA655365 SRV655365:SRW655365 TBR655365:TBS655365 TLN655365:TLO655365 TVJ655365:TVK655365 UFF655365:UFG655365 UPB655365:UPC655365 UYX655365:UYY655365 VIT655365:VIU655365 VSP655365:VSQ655365 WCL655365:WCM655365 WMH655365:WMI655365 WWD655365:WWE655365 V720901:W720901 JR720901:JS720901 TN720901:TO720901 ADJ720901:ADK720901 ANF720901:ANG720901 AXB720901:AXC720901 BGX720901:BGY720901 BQT720901:BQU720901 CAP720901:CAQ720901 CKL720901:CKM720901 CUH720901:CUI720901 DED720901:DEE720901 DNZ720901:DOA720901 DXV720901:DXW720901 EHR720901:EHS720901 ERN720901:ERO720901 FBJ720901:FBK720901 FLF720901:FLG720901 FVB720901:FVC720901 GEX720901:GEY720901 GOT720901:GOU720901 GYP720901:GYQ720901 HIL720901:HIM720901 HSH720901:HSI720901 ICD720901:ICE720901 ILZ720901:IMA720901 IVV720901:IVW720901 JFR720901:JFS720901 JPN720901:JPO720901 JZJ720901:JZK720901 KJF720901:KJG720901 KTB720901:KTC720901 LCX720901:LCY720901 LMT720901:LMU720901 LWP720901:LWQ720901 MGL720901:MGM720901 MQH720901:MQI720901 NAD720901:NAE720901 NJZ720901:NKA720901 NTV720901:NTW720901 ODR720901:ODS720901 ONN720901:ONO720901 OXJ720901:OXK720901 PHF720901:PHG720901 PRB720901:PRC720901 QAX720901:QAY720901 QKT720901:QKU720901 QUP720901:QUQ720901 REL720901:REM720901 ROH720901:ROI720901 RYD720901:RYE720901 SHZ720901:SIA720901 SRV720901:SRW720901 TBR720901:TBS720901 TLN720901:TLO720901 TVJ720901:TVK720901 UFF720901:UFG720901 UPB720901:UPC720901 UYX720901:UYY720901 VIT720901:VIU720901 VSP720901:VSQ720901 WCL720901:WCM720901 WMH720901:WMI720901 WWD720901:WWE720901 V786437:W786437 JR786437:JS786437 TN786437:TO786437 ADJ786437:ADK786437 ANF786437:ANG786437 AXB786437:AXC786437 BGX786437:BGY786437 BQT786437:BQU786437 CAP786437:CAQ786437 CKL786437:CKM786437 CUH786437:CUI786437 DED786437:DEE786437 DNZ786437:DOA786437 DXV786437:DXW786437 EHR786437:EHS786437 ERN786437:ERO786437 FBJ786437:FBK786437 FLF786437:FLG786437 FVB786437:FVC786437 GEX786437:GEY786437 GOT786437:GOU786437 GYP786437:GYQ786437 HIL786437:HIM786437 HSH786437:HSI786437 ICD786437:ICE786437 ILZ786437:IMA786437 IVV786437:IVW786437 JFR786437:JFS786437 JPN786437:JPO786437 JZJ786437:JZK786437 KJF786437:KJG786437 KTB786437:KTC786437 LCX786437:LCY786437 LMT786437:LMU786437 LWP786437:LWQ786437 MGL786437:MGM786437 MQH786437:MQI786437 NAD786437:NAE786437 NJZ786437:NKA786437 NTV786437:NTW786437 ODR786437:ODS786437 ONN786437:ONO786437 OXJ786437:OXK786437 PHF786437:PHG786437 PRB786437:PRC786437 QAX786437:QAY786437 QKT786437:QKU786437 QUP786437:QUQ786437 REL786437:REM786437 ROH786437:ROI786437 RYD786437:RYE786437 SHZ786437:SIA786437 SRV786437:SRW786437 TBR786437:TBS786437 TLN786437:TLO786437 TVJ786437:TVK786437 UFF786437:UFG786437 UPB786437:UPC786437 UYX786437:UYY786437 VIT786437:VIU786437 VSP786437:VSQ786437 WCL786437:WCM786437 WMH786437:WMI786437 WWD786437:WWE786437 V851973:W851973 JR851973:JS851973 TN851973:TO851973 ADJ851973:ADK851973 ANF851973:ANG851973 AXB851973:AXC851973 BGX851973:BGY851973 BQT851973:BQU851973 CAP851973:CAQ851973 CKL851973:CKM851973 CUH851973:CUI851973 DED851973:DEE851973 DNZ851973:DOA851973 DXV851973:DXW851973 EHR851973:EHS851973 ERN851973:ERO851973 FBJ851973:FBK851973 FLF851973:FLG851973 FVB851973:FVC851973 GEX851973:GEY851973 GOT851973:GOU851973 GYP851973:GYQ851973 HIL851973:HIM851973 HSH851973:HSI851973 ICD851973:ICE851973 ILZ851973:IMA851973 IVV851973:IVW851973 JFR851973:JFS851973 JPN851973:JPO851973 JZJ851973:JZK851973 KJF851973:KJG851973 KTB851973:KTC851973 LCX851973:LCY851973 LMT851973:LMU851973 LWP851973:LWQ851973 MGL851973:MGM851973 MQH851973:MQI851973 NAD851973:NAE851973 NJZ851973:NKA851973 NTV851973:NTW851973 ODR851973:ODS851973 ONN851973:ONO851973 OXJ851973:OXK851973 PHF851973:PHG851973 PRB851973:PRC851973 QAX851973:QAY851973 QKT851973:QKU851973 QUP851973:QUQ851973 REL851973:REM851973 ROH851973:ROI851973 RYD851973:RYE851973 SHZ851973:SIA851973 SRV851973:SRW851973 TBR851973:TBS851973 TLN851973:TLO851973 TVJ851973:TVK851973 UFF851973:UFG851973 UPB851973:UPC851973 UYX851973:UYY851973 VIT851973:VIU851973 VSP851973:VSQ851973 WCL851973:WCM851973 WMH851973:WMI851973 WWD851973:WWE851973 V917509:W917509 JR917509:JS917509 TN917509:TO917509 ADJ917509:ADK917509 ANF917509:ANG917509 AXB917509:AXC917509 BGX917509:BGY917509 BQT917509:BQU917509 CAP917509:CAQ917509 CKL917509:CKM917509 CUH917509:CUI917509 DED917509:DEE917509 DNZ917509:DOA917509 DXV917509:DXW917509 EHR917509:EHS917509 ERN917509:ERO917509 FBJ917509:FBK917509 FLF917509:FLG917509 FVB917509:FVC917509 GEX917509:GEY917509 GOT917509:GOU917509 GYP917509:GYQ917509 HIL917509:HIM917509 HSH917509:HSI917509 ICD917509:ICE917509 ILZ917509:IMA917509 IVV917509:IVW917509 JFR917509:JFS917509 JPN917509:JPO917509 JZJ917509:JZK917509 KJF917509:KJG917509 KTB917509:KTC917509 LCX917509:LCY917509 LMT917509:LMU917509 LWP917509:LWQ917509 MGL917509:MGM917509 MQH917509:MQI917509 NAD917509:NAE917509 NJZ917509:NKA917509 NTV917509:NTW917509 ODR917509:ODS917509 ONN917509:ONO917509 OXJ917509:OXK917509 PHF917509:PHG917509 PRB917509:PRC917509 QAX917509:QAY917509 QKT917509:QKU917509 QUP917509:QUQ917509 REL917509:REM917509 ROH917509:ROI917509 RYD917509:RYE917509 SHZ917509:SIA917509 SRV917509:SRW917509 TBR917509:TBS917509 TLN917509:TLO917509 TVJ917509:TVK917509 UFF917509:UFG917509 UPB917509:UPC917509 UYX917509:UYY917509 VIT917509:VIU917509 VSP917509:VSQ917509 WCL917509:WCM917509 WMH917509:WMI917509 WWD917509:WWE917509 V983045:W983045 JR983045:JS983045 TN983045:TO983045 ADJ983045:ADK983045 ANF983045:ANG983045 AXB983045:AXC983045 BGX983045:BGY983045 BQT983045:BQU983045 CAP983045:CAQ983045 CKL983045:CKM983045 CUH983045:CUI983045 DED983045:DEE983045 DNZ983045:DOA983045 DXV983045:DXW983045 EHR983045:EHS983045 ERN983045:ERO983045 FBJ983045:FBK983045 FLF983045:FLG983045 FVB983045:FVC983045 GEX983045:GEY983045 GOT983045:GOU983045 GYP983045:GYQ983045 HIL983045:HIM983045 HSH983045:HSI983045 ICD983045:ICE983045 ILZ983045:IMA983045 IVV983045:IVW983045 JFR983045:JFS983045 JPN983045:JPO983045 JZJ983045:JZK983045 KJF983045:KJG983045 KTB983045:KTC983045 LCX983045:LCY983045 LMT983045:LMU983045 LWP983045:LWQ983045 MGL983045:MGM983045 MQH983045:MQI983045 NAD983045:NAE983045 NJZ983045:NKA983045 NTV983045:NTW983045 ODR983045:ODS983045 ONN983045:ONO983045 OXJ983045:OXK983045 PHF983045:PHG983045 PRB983045:PRC983045 QAX983045:QAY983045 QKT983045:QKU983045 QUP983045:QUQ983045 REL983045:REM983045 ROH983045:ROI983045 RYD983045:RYE983045 SHZ983045:SIA983045 SRV983045:SRW983045 TBR983045:TBS983045 TLN983045:TLO983045 TVJ983045:TVK983045 UFF983045:UFG983045 UPB983045:UPC983045 UYX983045:UYY983045 VIT983045:VIU983045 VSP983045:VSQ983045 WCL983045:WCM983045 WMH983045:WMI983045 WWD983045:WWE983045" xr:uid="{F8FF5290-67C0-4B48-9E20-E3E14CB7CFBB}">
      <formula1>"茨城,千葉,熊谷,仙台"</formula1>
    </dataValidation>
    <dataValidation type="list" allowBlank="1" showInputMessage="1" showErrorMessage="1" sqref="Q6:S6 JM6:JO6 TI6:TK6 ADE6:ADG6 ANA6:ANC6 AWW6:AWY6 BGS6:BGU6 BQO6:BQQ6 CAK6:CAM6 CKG6:CKI6 CUC6:CUE6 DDY6:DEA6 DNU6:DNW6 DXQ6:DXS6 EHM6:EHO6 ERI6:ERK6 FBE6:FBG6 FLA6:FLC6 FUW6:FUY6 GES6:GEU6 GOO6:GOQ6 GYK6:GYM6 HIG6:HII6 HSC6:HSE6 IBY6:ICA6 ILU6:ILW6 IVQ6:IVS6 JFM6:JFO6 JPI6:JPK6 JZE6:JZG6 KJA6:KJC6 KSW6:KSY6 LCS6:LCU6 LMO6:LMQ6 LWK6:LWM6 MGG6:MGI6 MQC6:MQE6 MZY6:NAA6 NJU6:NJW6 NTQ6:NTS6 ODM6:ODO6 ONI6:ONK6 OXE6:OXG6 PHA6:PHC6 PQW6:PQY6 QAS6:QAU6 QKO6:QKQ6 QUK6:QUM6 REG6:REI6 ROC6:ROE6 RXY6:RYA6 SHU6:SHW6 SRQ6:SRS6 TBM6:TBO6 TLI6:TLK6 TVE6:TVG6 UFA6:UFC6 UOW6:UOY6 UYS6:UYU6 VIO6:VIQ6 VSK6:VSM6 WCG6:WCI6 WMC6:WME6 WVY6:WWA6 Q65541:S65541 JM65541:JO65541 TI65541:TK65541 ADE65541:ADG65541 ANA65541:ANC65541 AWW65541:AWY65541 BGS65541:BGU65541 BQO65541:BQQ65541 CAK65541:CAM65541 CKG65541:CKI65541 CUC65541:CUE65541 DDY65541:DEA65541 DNU65541:DNW65541 DXQ65541:DXS65541 EHM65541:EHO65541 ERI65541:ERK65541 FBE65541:FBG65541 FLA65541:FLC65541 FUW65541:FUY65541 GES65541:GEU65541 GOO65541:GOQ65541 GYK65541:GYM65541 HIG65541:HII65541 HSC65541:HSE65541 IBY65541:ICA65541 ILU65541:ILW65541 IVQ65541:IVS65541 JFM65541:JFO65541 JPI65541:JPK65541 JZE65541:JZG65541 KJA65541:KJC65541 KSW65541:KSY65541 LCS65541:LCU65541 LMO65541:LMQ65541 LWK65541:LWM65541 MGG65541:MGI65541 MQC65541:MQE65541 MZY65541:NAA65541 NJU65541:NJW65541 NTQ65541:NTS65541 ODM65541:ODO65541 ONI65541:ONK65541 OXE65541:OXG65541 PHA65541:PHC65541 PQW65541:PQY65541 QAS65541:QAU65541 QKO65541:QKQ65541 QUK65541:QUM65541 REG65541:REI65541 ROC65541:ROE65541 RXY65541:RYA65541 SHU65541:SHW65541 SRQ65541:SRS65541 TBM65541:TBO65541 TLI65541:TLK65541 TVE65541:TVG65541 UFA65541:UFC65541 UOW65541:UOY65541 UYS65541:UYU65541 VIO65541:VIQ65541 VSK65541:VSM65541 WCG65541:WCI65541 WMC65541:WME65541 WVY65541:WWA65541 Q131077:S131077 JM131077:JO131077 TI131077:TK131077 ADE131077:ADG131077 ANA131077:ANC131077 AWW131077:AWY131077 BGS131077:BGU131077 BQO131077:BQQ131077 CAK131077:CAM131077 CKG131077:CKI131077 CUC131077:CUE131077 DDY131077:DEA131077 DNU131077:DNW131077 DXQ131077:DXS131077 EHM131077:EHO131077 ERI131077:ERK131077 FBE131077:FBG131077 FLA131077:FLC131077 FUW131077:FUY131077 GES131077:GEU131077 GOO131077:GOQ131077 GYK131077:GYM131077 HIG131077:HII131077 HSC131077:HSE131077 IBY131077:ICA131077 ILU131077:ILW131077 IVQ131077:IVS131077 JFM131077:JFO131077 JPI131077:JPK131077 JZE131077:JZG131077 KJA131077:KJC131077 KSW131077:KSY131077 LCS131077:LCU131077 LMO131077:LMQ131077 LWK131077:LWM131077 MGG131077:MGI131077 MQC131077:MQE131077 MZY131077:NAA131077 NJU131077:NJW131077 NTQ131077:NTS131077 ODM131077:ODO131077 ONI131077:ONK131077 OXE131077:OXG131077 PHA131077:PHC131077 PQW131077:PQY131077 QAS131077:QAU131077 QKO131077:QKQ131077 QUK131077:QUM131077 REG131077:REI131077 ROC131077:ROE131077 RXY131077:RYA131077 SHU131077:SHW131077 SRQ131077:SRS131077 TBM131077:TBO131077 TLI131077:TLK131077 TVE131077:TVG131077 UFA131077:UFC131077 UOW131077:UOY131077 UYS131077:UYU131077 VIO131077:VIQ131077 VSK131077:VSM131077 WCG131077:WCI131077 WMC131077:WME131077 WVY131077:WWA131077 Q196613:S196613 JM196613:JO196613 TI196613:TK196613 ADE196613:ADG196613 ANA196613:ANC196613 AWW196613:AWY196613 BGS196613:BGU196613 BQO196613:BQQ196613 CAK196613:CAM196613 CKG196613:CKI196613 CUC196613:CUE196613 DDY196613:DEA196613 DNU196613:DNW196613 DXQ196613:DXS196613 EHM196613:EHO196613 ERI196613:ERK196613 FBE196613:FBG196613 FLA196613:FLC196613 FUW196613:FUY196613 GES196613:GEU196613 GOO196613:GOQ196613 GYK196613:GYM196613 HIG196613:HII196613 HSC196613:HSE196613 IBY196613:ICA196613 ILU196613:ILW196613 IVQ196613:IVS196613 JFM196613:JFO196613 JPI196613:JPK196613 JZE196613:JZG196613 KJA196613:KJC196613 KSW196613:KSY196613 LCS196613:LCU196613 LMO196613:LMQ196613 LWK196613:LWM196613 MGG196613:MGI196613 MQC196613:MQE196613 MZY196613:NAA196613 NJU196613:NJW196613 NTQ196613:NTS196613 ODM196613:ODO196613 ONI196613:ONK196613 OXE196613:OXG196613 PHA196613:PHC196613 PQW196613:PQY196613 QAS196613:QAU196613 QKO196613:QKQ196613 QUK196613:QUM196613 REG196613:REI196613 ROC196613:ROE196613 RXY196613:RYA196613 SHU196613:SHW196613 SRQ196613:SRS196613 TBM196613:TBO196613 TLI196613:TLK196613 TVE196613:TVG196613 UFA196613:UFC196613 UOW196613:UOY196613 UYS196613:UYU196613 VIO196613:VIQ196613 VSK196613:VSM196613 WCG196613:WCI196613 WMC196613:WME196613 WVY196613:WWA196613 Q262149:S262149 JM262149:JO262149 TI262149:TK262149 ADE262149:ADG262149 ANA262149:ANC262149 AWW262149:AWY262149 BGS262149:BGU262149 BQO262149:BQQ262149 CAK262149:CAM262149 CKG262149:CKI262149 CUC262149:CUE262149 DDY262149:DEA262149 DNU262149:DNW262149 DXQ262149:DXS262149 EHM262149:EHO262149 ERI262149:ERK262149 FBE262149:FBG262149 FLA262149:FLC262149 FUW262149:FUY262149 GES262149:GEU262149 GOO262149:GOQ262149 GYK262149:GYM262149 HIG262149:HII262149 HSC262149:HSE262149 IBY262149:ICA262149 ILU262149:ILW262149 IVQ262149:IVS262149 JFM262149:JFO262149 JPI262149:JPK262149 JZE262149:JZG262149 KJA262149:KJC262149 KSW262149:KSY262149 LCS262149:LCU262149 LMO262149:LMQ262149 LWK262149:LWM262149 MGG262149:MGI262149 MQC262149:MQE262149 MZY262149:NAA262149 NJU262149:NJW262149 NTQ262149:NTS262149 ODM262149:ODO262149 ONI262149:ONK262149 OXE262149:OXG262149 PHA262149:PHC262149 PQW262149:PQY262149 QAS262149:QAU262149 QKO262149:QKQ262149 QUK262149:QUM262149 REG262149:REI262149 ROC262149:ROE262149 RXY262149:RYA262149 SHU262149:SHW262149 SRQ262149:SRS262149 TBM262149:TBO262149 TLI262149:TLK262149 TVE262149:TVG262149 UFA262149:UFC262149 UOW262149:UOY262149 UYS262149:UYU262149 VIO262149:VIQ262149 VSK262149:VSM262149 WCG262149:WCI262149 WMC262149:WME262149 WVY262149:WWA262149 Q327685:S327685 JM327685:JO327685 TI327685:TK327685 ADE327685:ADG327685 ANA327685:ANC327685 AWW327685:AWY327685 BGS327685:BGU327685 BQO327685:BQQ327685 CAK327685:CAM327685 CKG327685:CKI327685 CUC327685:CUE327685 DDY327685:DEA327685 DNU327685:DNW327685 DXQ327685:DXS327685 EHM327685:EHO327685 ERI327685:ERK327685 FBE327685:FBG327685 FLA327685:FLC327685 FUW327685:FUY327685 GES327685:GEU327685 GOO327685:GOQ327685 GYK327685:GYM327685 HIG327685:HII327685 HSC327685:HSE327685 IBY327685:ICA327685 ILU327685:ILW327685 IVQ327685:IVS327685 JFM327685:JFO327685 JPI327685:JPK327685 JZE327685:JZG327685 KJA327685:KJC327685 KSW327685:KSY327685 LCS327685:LCU327685 LMO327685:LMQ327685 LWK327685:LWM327685 MGG327685:MGI327685 MQC327685:MQE327685 MZY327685:NAA327685 NJU327685:NJW327685 NTQ327685:NTS327685 ODM327685:ODO327685 ONI327685:ONK327685 OXE327685:OXG327685 PHA327685:PHC327685 PQW327685:PQY327685 QAS327685:QAU327685 QKO327685:QKQ327685 QUK327685:QUM327685 REG327685:REI327685 ROC327685:ROE327685 RXY327685:RYA327685 SHU327685:SHW327685 SRQ327685:SRS327685 TBM327685:TBO327685 TLI327685:TLK327685 TVE327685:TVG327685 UFA327685:UFC327685 UOW327685:UOY327685 UYS327685:UYU327685 VIO327685:VIQ327685 VSK327685:VSM327685 WCG327685:WCI327685 WMC327685:WME327685 WVY327685:WWA327685 Q393221:S393221 JM393221:JO393221 TI393221:TK393221 ADE393221:ADG393221 ANA393221:ANC393221 AWW393221:AWY393221 BGS393221:BGU393221 BQO393221:BQQ393221 CAK393221:CAM393221 CKG393221:CKI393221 CUC393221:CUE393221 DDY393221:DEA393221 DNU393221:DNW393221 DXQ393221:DXS393221 EHM393221:EHO393221 ERI393221:ERK393221 FBE393221:FBG393221 FLA393221:FLC393221 FUW393221:FUY393221 GES393221:GEU393221 GOO393221:GOQ393221 GYK393221:GYM393221 HIG393221:HII393221 HSC393221:HSE393221 IBY393221:ICA393221 ILU393221:ILW393221 IVQ393221:IVS393221 JFM393221:JFO393221 JPI393221:JPK393221 JZE393221:JZG393221 KJA393221:KJC393221 KSW393221:KSY393221 LCS393221:LCU393221 LMO393221:LMQ393221 LWK393221:LWM393221 MGG393221:MGI393221 MQC393221:MQE393221 MZY393221:NAA393221 NJU393221:NJW393221 NTQ393221:NTS393221 ODM393221:ODO393221 ONI393221:ONK393221 OXE393221:OXG393221 PHA393221:PHC393221 PQW393221:PQY393221 QAS393221:QAU393221 QKO393221:QKQ393221 QUK393221:QUM393221 REG393221:REI393221 ROC393221:ROE393221 RXY393221:RYA393221 SHU393221:SHW393221 SRQ393221:SRS393221 TBM393221:TBO393221 TLI393221:TLK393221 TVE393221:TVG393221 UFA393221:UFC393221 UOW393221:UOY393221 UYS393221:UYU393221 VIO393221:VIQ393221 VSK393221:VSM393221 WCG393221:WCI393221 WMC393221:WME393221 WVY393221:WWA393221 Q458757:S458757 JM458757:JO458757 TI458757:TK458757 ADE458757:ADG458757 ANA458757:ANC458757 AWW458757:AWY458757 BGS458757:BGU458757 BQO458757:BQQ458757 CAK458757:CAM458757 CKG458757:CKI458757 CUC458757:CUE458757 DDY458757:DEA458757 DNU458757:DNW458757 DXQ458757:DXS458757 EHM458757:EHO458757 ERI458757:ERK458757 FBE458757:FBG458757 FLA458757:FLC458757 FUW458757:FUY458757 GES458757:GEU458757 GOO458757:GOQ458757 GYK458757:GYM458757 HIG458757:HII458757 HSC458757:HSE458757 IBY458757:ICA458757 ILU458757:ILW458757 IVQ458757:IVS458757 JFM458757:JFO458757 JPI458757:JPK458757 JZE458757:JZG458757 KJA458757:KJC458757 KSW458757:KSY458757 LCS458757:LCU458757 LMO458757:LMQ458757 LWK458757:LWM458757 MGG458757:MGI458757 MQC458757:MQE458757 MZY458757:NAA458757 NJU458757:NJW458757 NTQ458757:NTS458757 ODM458757:ODO458757 ONI458757:ONK458757 OXE458757:OXG458757 PHA458757:PHC458757 PQW458757:PQY458757 QAS458757:QAU458757 QKO458757:QKQ458757 QUK458757:QUM458757 REG458757:REI458757 ROC458757:ROE458757 RXY458757:RYA458757 SHU458757:SHW458757 SRQ458757:SRS458757 TBM458757:TBO458757 TLI458757:TLK458757 TVE458757:TVG458757 UFA458757:UFC458757 UOW458757:UOY458757 UYS458757:UYU458757 VIO458757:VIQ458757 VSK458757:VSM458757 WCG458757:WCI458757 WMC458757:WME458757 WVY458757:WWA458757 Q524293:S524293 JM524293:JO524293 TI524293:TK524293 ADE524293:ADG524293 ANA524293:ANC524293 AWW524293:AWY524293 BGS524293:BGU524293 BQO524293:BQQ524293 CAK524293:CAM524293 CKG524293:CKI524293 CUC524293:CUE524293 DDY524293:DEA524293 DNU524293:DNW524293 DXQ524293:DXS524293 EHM524293:EHO524293 ERI524293:ERK524293 FBE524293:FBG524293 FLA524293:FLC524293 FUW524293:FUY524293 GES524293:GEU524293 GOO524293:GOQ524293 GYK524293:GYM524293 HIG524293:HII524293 HSC524293:HSE524293 IBY524293:ICA524293 ILU524293:ILW524293 IVQ524293:IVS524293 JFM524293:JFO524293 JPI524293:JPK524293 JZE524293:JZG524293 KJA524293:KJC524293 KSW524293:KSY524293 LCS524293:LCU524293 LMO524293:LMQ524293 LWK524293:LWM524293 MGG524293:MGI524293 MQC524293:MQE524293 MZY524293:NAA524293 NJU524293:NJW524293 NTQ524293:NTS524293 ODM524293:ODO524293 ONI524293:ONK524293 OXE524293:OXG524293 PHA524293:PHC524293 PQW524293:PQY524293 QAS524293:QAU524293 QKO524293:QKQ524293 QUK524293:QUM524293 REG524293:REI524293 ROC524293:ROE524293 RXY524293:RYA524293 SHU524293:SHW524293 SRQ524293:SRS524293 TBM524293:TBO524293 TLI524293:TLK524293 TVE524293:TVG524293 UFA524293:UFC524293 UOW524293:UOY524293 UYS524293:UYU524293 VIO524293:VIQ524293 VSK524293:VSM524293 WCG524293:WCI524293 WMC524293:WME524293 WVY524293:WWA524293 Q589829:S589829 JM589829:JO589829 TI589829:TK589829 ADE589829:ADG589829 ANA589829:ANC589829 AWW589829:AWY589829 BGS589829:BGU589829 BQO589829:BQQ589829 CAK589829:CAM589829 CKG589829:CKI589829 CUC589829:CUE589829 DDY589829:DEA589829 DNU589829:DNW589829 DXQ589829:DXS589829 EHM589829:EHO589829 ERI589829:ERK589829 FBE589829:FBG589829 FLA589829:FLC589829 FUW589829:FUY589829 GES589829:GEU589829 GOO589829:GOQ589829 GYK589829:GYM589829 HIG589829:HII589829 HSC589829:HSE589829 IBY589829:ICA589829 ILU589829:ILW589829 IVQ589829:IVS589829 JFM589829:JFO589829 JPI589829:JPK589829 JZE589829:JZG589829 KJA589829:KJC589829 KSW589829:KSY589829 LCS589829:LCU589829 LMO589829:LMQ589829 LWK589829:LWM589829 MGG589829:MGI589829 MQC589829:MQE589829 MZY589829:NAA589829 NJU589829:NJW589829 NTQ589829:NTS589829 ODM589829:ODO589829 ONI589829:ONK589829 OXE589829:OXG589829 PHA589829:PHC589829 PQW589829:PQY589829 QAS589829:QAU589829 QKO589829:QKQ589829 QUK589829:QUM589829 REG589829:REI589829 ROC589829:ROE589829 RXY589829:RYA589829 SHU589829:SHW589829 SRQ589829:SRS589829 TBM589829:TBO589829 TLI589829:TLK589829 TVE589829:TVG589829 UFA589829:UFC589829 UOW589829:UOY589829 UYS589829:UYU589829 VIO589829:VIQ589829 VSK589829:VSM589829 WCG589829:WCI589829 WMC589829:WME589829 WVY589829:WWA589829 Q655365:S655365 JM655365:JO655365 TI655365:TK655365 ADE655365:ADG655365 ANA655365:ANC655365 AWW655365:AWY655365 BGS655365:BGU655365 BQO655365:BQQ655365 CAK655365:CAM655365 CKG655365:CKI655365 CUC655365:CUE655365 DDY655365:DEA655365 DNU655365:DNW655365 DXQ655365:DXS655365 EHM655365:EHO655365 ERI655365:ERK655365 FBE655365:FBG655365 FLA655365:FLC655365 FUW655365:FUY655365 GES655365:GEU655365 GOO655365:GOQ655365 GYK655365:GYM655365 HIG655365:HII655365 HSC655365:HSE655365 IBY655365:ICA655365 ILU655365:ILW655365 IVQ655365:IVS655365 JFM655365:JFO655365 JPI655365:JPK655365 JZE655365:JZG655365 KJA655365:KJC655365 KSW655365:KSY655365 LCS655365:LCU655365 LMO655365:LMQ655365 LWK655365:LWM655365 MGG655365:MGI655365 MQC655365:MQE655365 MZY655365:NAA655365 NJU655365:NJW655365 NTQ655365:NTS655365 ODM655365:ODO655365 ONI655365:ONK655365 OXE655365:OXG655365 PHA655365:PHC655365 PQW655365:PQY655365 QAS655365:QAU655365 QKO655365:QKQ655365 QUK655365:QUM655365 REG655365:REI655365 ROC655365:ROE655365 RXY655365:RYA655365 SHU655365:SHW655365 SRQ655365:SRS655365 TBM655365:TBO655365 TLI655365:TLK655365 TVE655365:TVG655365 UFA655365:UFC655365 UOW655365:UOY655365 UYS655365:UYU655365 VIO655365:VIQ655365 VSK655365:VSM655365 WCG655365:WCI655365 WMC655365:WME655365 WVY655365:WWA655365 Q720901:S720901 JM720901:JO720901 TI720901:TK720901 ADE720901:ADG720901 ANA720901:ANC720901 AWW720901:AWY720901 BGS720901:BGU720901 BQO720901:BQQ720901 CAK720901:CAM720901 CKG720901:CKI720901 CUC720901:CUE720901 DDY720901:DEA720901 DNU720901:DNW720901 DXQ720901:DXS720901 EHM720901:EHO720901 ERI720901:ERK720901 FBE720901:FBG720901 FLA720901:FLC720901 FUW720901:FUY720901 GES720901:GEU720901 GOO720901:GOQ720901 GYK720901:GYM720901 HIG720901:HII720901 HSC720901:HSE720901 IBY720901:ICA720901 ILU720901:ILW720901 IVQ720901:IVS720901 JFM720901:JFO720901 JPI720901:JPK720901 JZE720901:JZG720901 KJA720901:KJC720901 KSW720901:KSY720901 LCS720901:LCU720901 LMO720901:LMQ720901 LWK720901:LWM720901 MGG720901:MGI720901 MQC720901:MQE720901 MZY720901:NAA720901 NJU720901:NJW720901 NTQ720901:NTS720901 ODM720901:ODO720901 ONI720901:ONK720901 OXE720901:OXG720901 PHA720901:PHC720901 PQW720901:PQY720901 QAS720901:QAU720901 QKO720901:QKQ720901 QUK720901:QUM720901 REG720901:REI720901 ROC720901:ROE720901 RXY720901:RYA720901 SHU720901:SHW720901 SRQ720901:SRS720901 TBM720901:TBO720901 TLI720901:TLK720901 TVE720901:TVG720901 UFA720901:UFC720901 UOW720901:UOY720901 UYS720901:UYU720901 VIO720901:VIQ720901 VSK720901:VSM720901 WCG720901:WCI720901 WMC720901:WME720901 WVY720901:WWA720901 Q786437:S786437 JM786437:JO786437 TI786437:TK786437 ADE786437:ADG786437 ANA786437:ANC786437 AWW786437:AWY786437 BGS786437:BGU786437 BQO786437:BQQ786437 CAK786437:CAM786437 CKG786437:CKI786437 CUC786437:CUE786437 DDY786437:DEA786437 DNU786437:DNW786437 DXQ786437:DXS786437 EHM786437:EHO786437 ERI786437:ERK786437 FBE786437:FBG786437 FLA786437:FLC786437 FUW786437:FUY786437 GES786437:GEU786437 GOO786437:GOQ786437 GYK786437:GYM786437 HIG786437:HII786437 HSC786437:HSE786437 IBY786437:ICA786437 ILU786437:ILW786437 IVQ786437:IVS786437 JFM786437:JFO786437 JPI786437:JPK786437 JZE786437:JZG786437 KJA786437:KJC786437 KSW786437:KSY786437 LCS786437:LCU786437 LMO786437:LMQ786437 LWK786437:LWM786437 MGG786437:MGI786437 MQC786437:MQE786437 MZY786437:NAA786437 NJU786437:NJW786437 NTQ786437:NTS786437 ODM786437:ODO786437 ONI786437:ONK786437 OXE786437:OXG786437 PHA786437:PHC786437 PQW786437:PQY786437 QAS786437:QAU786437 QKO786437:QKQ786437 QUK786437:QUM786437 REG786437:REI786437 ROC786437:ROE786437 RXY786437:RYA786437 SHU786437:SHW786437 SRQ786437:SRS786437 TBM786437:TBO786437 TLI786437:TLK786437 TVE786437:TVG786437 UFA786437:UFC786437 UOW786437:UOY786437 UYS786437:UYU786437 VIO786437:VIQ786437 VSK786437:VSM786437 WCG786437:WCI786437 WMC786437:WME786437 WVY786437:WWA786437 Q851973:S851973 JM851973:JO851973 TI851973:TK851973 ADE851973:ADG851973 ANA851973:ANC851973 AWW851973:AWY851973 BGS851973:BGU851973 BQO851973:BQQ851973 CAK851973:CAM851973 CKG851973:CKI851973 CUC851973:CUE851973 DDY851973:DEA851973 DNU851973:DNW851973 DXQ851973:DXS851973 EHM851973:EHO851973 ERI851973:ERK851973 FBE851973:FBG851973 FLA851973:FLC851973 FUW851973:FUY851973 GES851973:GEU851973 GOO851973:GOQ851973 GYK851973:GYM851973 HIG851973:HII851973 HSC851973:HSE851973 IBY851973:ICA851973 ILU851973:ILW851973 IVQ851973:IVS851973 JFM851973:JFO851973 JPI851973:JPK851973 JZE851973:JZG851973 KJA851973:KJC851973 KSW851973:KSY851973 LCS851973:LCU851973 LMO851973:LMQ851973 LWK851973:LWM851973 MGG851973:MGI851973 MQC851973:MQE851973 MZY851973:NAA851973 NJU851973:NJW851973 NTQ851973:NTS851973 ODM851973:ODO851973 ONI851973:ONK851973 OXE851973:OXG851973 PHA851973:PHC851973 PQW851973:PQY851973 QAS851973:QAU851973 QKO851973:QKQ851973 QUK851973:QUM851973 REG851973:REI851973 ROC851973:ROE851973 RXY851973:RYA851973 SHU851973:SHW851973 SRQ851973:SRS851973 TBM851973:TBO851973 TLI851973:TLK851973 TVE851973:TVG851973 UFA851973:UFC851973 UOW851973:UOY851973 UYS851973:UYU851973 VIO851973:VIQ851973 VSK851973:VSM851973 WCG851973:WCI851973 WMC851973:WME851973 WVY851973:WWA851973 Q917509:S917509 JM917509:JO917509 TI917509:TK917509 ADE917509:ADG917509 ANA917509:ANC917509 AWW917509:AWY917509 BGS917509:BGU917509 BQO917509:BQQ917509 CAK917509:CAM917509 CKG917509:CKI917509 CUC917509:CUE917509 DDY917509:DEA917509 DNU917509:DNW917509 DXQ917509:DXS917509 EHM917509:EHO917509 ERI917509:ERK917509 FBE917509:FBG917509 FLA917509:FLC917509 FUW917509:FUY917509 GES917509:GEU917509 GOO917509:GOQ917509 GYK917509:GYM917509 HIG917509:HII917509 HSC917509:HSE917509 IBY917509:ICA917509 ILU917509:ILW917509 IVQ917509:IVS917509 JFM917509:JFO917509 JPI917509:JPK917509 JZE917509:JZG917509 KJA917509:KJC917509 KSW917509:KSY917509 LCS917509:LCU917509 LMO917509:LMQ917509 LWK917509:LWM917509 MGG917509:MGI917509 MQC917509:MQE917509 MZY917509:NAA917509 NJU917509:NJW917509 NTQ917509:NTS917509 ODM917509:ODO917509 ONI917509:ONK917509 OXE917509:OXG917509 PHA917509:PHC917509 PQW917509:PQY917509 QAS917509:QAU917509 QKO917509:QKQ917509 QUK917509:QUM917509 REG917509:REI917509 ROC917509:ROE917509 RXY917509:RYA917509 SHU917509:SHW917509 SRQ917509:SRS917509 TBM917509:TBO917509 TLI917509:TLK917509 TVE917509:TVG917509 UFA917509:UFC917509 UOW917509:UOY917509 UYS917509:UYU917509 VIO917509:VIQ917509 VSK917509:VSM917509 WCG917509:WCI917509 WMC917509:WME917509 WVY917509:WWA917509 Q983045:S983045 JM983045:JO983045 TI983045:TK983045 ADE983045:ADG983045 ANA983045:ANC983045 AWW983045:AWY983045 BGS983045:BGU983045 BQO983045:BQQ983045 CAK983045:CAM983045 CKG983045:CKI983045 CUC983045:CUE983045 DDY983045:DEA983045 DNU983045:DNW983045 DXQ983045:DXS983045 EHM983045:EHO983045 ERI983045:ERK983045 FBE983045:FBG983045 FLA983045:FLC983045 FUW983045:FUY983045 GES983045:GEU983045 GOO983045:GOQ983045 GYK983045:GYM983045 HIG983045:HII983045 HSC983045:HSE983045 IBY983045:ICA983045 ILU983045:ILW983045 IVQ983045:IVS983045 JFM983045:JFO983045 JPI983045:JPK983045 JZE983045:JZG983045 KJA983045:KJC983045 KSW983045:KSY983045 LCS983045:LCU983045 LMO983045:LMQ983045 LWK983045:LWM983045 MGG983045:MGI983045 MQC983045:MQE983045 MZY983045:NAA983045 NJU983045:NJW983045 NTQ983045:NTS983045 ODM983045:ODO983045 ONI983045:ONK983045 OXE983045:OXG983045 PHA983045:PHC983045 PQW983045:PQY983045 QAS983045:QAU983045 QKO983045:QKQ983045 QUK983045:QUM983045 REG983045:REI983045 ROC983045:ROE983045 RXY983045:RYA983045 SHU983045:SHW983045 SRQ983045:SRS983045 TBM983045:TBO983045 TLI983045:TLK983045 TVE983045:TVG983045 UFA983045:UFC983045 UOW983045:UOY983045 UYS983045:UYU983045 VIO983045:VIQ983045 VSK983045:VSM983045 WCG983045:WCI983045 WMC983045:WME983045 WVY983045:WWA983045" xr:uid="{FA04CEA1-E976-40FC-ABD2-5F9AA00EC7AB}">
      <formula1>"bring plus,bring up,bring next,bring"</formula1>
    </dataValidation>
    <dataValidation type="list" allowBlank="1" showInputMessage="1" showErrorMessage="1" sqref="D3:I3 IZ3:JE3 SV3:TA3 ACR3:ACW3 AMN3:AMS3 AWJ3:AWO3 BGF3:BGK3 BQB3:BQG3 BZX3:CAC3 CJT3:CJY3 CTP3:CTU3 DDL3:DDQ3 DNH3:DNM3 DXD3:DXI3 EGZ3:EHE3 EQV3:ERA3 FAR3:FAW3 FKN3:FKS3 FUJ3:FUO3 GEF3:GEK3 GOB3:GOG3 GXX3:GYC3 HHT3:HHY3 HRP3:HRU3 IBL3:IBQ3 ILH3:ILM3 IVD3:IVI3 JEZ3:JFE3 JOV3:JPA3 JYR3:JYW3 KIN3:KIS3 KSJ3:KSO3 LCF3:LCK3 LMB3:LMG3 LVX3:LWC3 MFT3:MFY3 MPP3:MPU3 MZL3:MZQ3 NJH3:NJM3 NTD3:NTI3 OCZ3:ODE3 OMV3:ONA3 OWR3:OWW3 PGN3:PGS3 PQJ3:PQO3 QAF3:QAK3 QKB3:QKG3 QTX3:QUC3 RDT3:RDY3 RNP3:RNU3 RXL3:RXQ3 SHH3:SHM3 SRD3:SRI3 TAZ3:TBE3 TKV3:TLA3 TUR3:TUW3 UEN3:UES3 UOJ3:UOO3 UYF3:UYK3 VIB3:VIG3 VRX3:VSC3 WBT3:WBY3 WLP3:WLU3 WVL3:WVQ3 D65538:I65538 IZ65538:JE65538 SV65538:TA65538 ACR65538:ACW65538 AMN65538:AMS65538 AWJ65538:AWO65538 BGF65538:BGK65538 BQB65538:BQG65538 BZX65538:CAC65538 CJT65538:CJY65538 CTP65538:CTU65538 DDL65538:DDQ65538 DNH65538:DNM65538 DXD65538:DXI65538 EGZ65538:EHE65538 EQV65538:ERA65538 FAR65538:FAW65538 FKN65538:FKS65538 FUJ65538:FUO65538 GEF65538:GEK65538 GOB65538:GOG65538 GXX65538:GYC65538 HHT65538:HHY65538 HRP65538:HRU65538 IBL65538:IBQ65538 ILH65538:ILM65538 IVD65538:IVI65538 JEZ65538:JFE65538 JOV65538:JPA65538 JYR65538:JYW65538 KIN65538:KIS65538 KSJ65538:KSO65538 LCF65538:LCK65538 LMB65538:LMG65538 LVX65538:LWC65538 MFT65538:MFY65538 MPP65538:MPU65538 MZL65538:MZQ65538 NJH65538:NJM65538 NTD65538:NTI65538 OCZ65538:ODE65538 OMV65538:ONA65538 OWR65538:OWW65538 PGN65538:PGS65538 PQJ65538:PQO65538 QAF65538:QAK65538 QKB65538:QKG65538 QTX65538:QUC65538 RDT65538:RDY65538 RNP65538:RNU65538 RXL65538:RXQ65538 SHH65538:SHM65538 SRD65538:SRI65538 TAZ65538:TBE65538 TKV65538:TLA65538 TUR65538:TUW65538 UEN65538:UES65538 UOJ65538:UOO65538 UYF65538:UYK65538 VIB65538:VIG65538 VRX65538:VSC65538 WBT65538:WBY65538 WLP65538:WLU65538 WVL65538:WVQ65538 D131074:I131074 IZ131074:JE131074 SV131074:TA131074 ACR131074:ACW131074 AMN131074:AMS131074 AWJ131074:AWO131074 BGF131074:BGK131074 BQB131074:BQG131074 BZX131074:CAC131074 CJT131074:CJY131074 CTP131074:CTU131074 DDL131074:DDQ131074 DNH131074:DNM131074 DXD131074:DXI131074 EGZ131074:EHE131074 EQV131074:ERA131074 FAR131074:FAW131074 FKN131074:FKS131074 FUJ131074:FUO131074 GEF131074:GEK131074 GOB131074:GOG131074 GXX131074:GYC131074 HHT131074:HHY131074 HRP131074:HRU131074 IBL131074:IBQ131074 ILH131074:ILM131074 IVD131074:IVI131074 JEZ131074:JFE131074 JOV131074:JPA131074 JYR131074:JYW131074 KIN131074:KIS131074 KSJ131074:KSO131074 LCF131074:LCK131074 LMB131074:LMG131074 LVX131074:LWC131074 MFT131074:MFY131074 MPP131074:MPU131074 MZL131074:MZQ131074 NJH131074:NJM131074 NTD131074:NTI131074 OCZ131074:ODE131074 OMV131074:ONA131074 OWR131074:OWW131074 PGN131074:PGS131074 PQJ131074:PQO131074 QAF131074:QAK131074 QKB131074:QKG131074 QTX131074:QUC131074 RDT131074:RDY131074 RNP131074:RNU131074 RXL131074:RXQ131074 SHH131074:SHM131074 SRD131074:SRI131074 TAZ131074:TBE131074 TKV131074:TLA131074 TUR131074:TUW131074 UEN131074:UES131074 UOJ131074:UOO131074 UYF131074:UYK131074 VIB131074:VIG131074 VRX131074:VSC131074 WBT131074:WBY131074 WLP131074:WLU131074 WVL131074:WVQ131074 D196610:I196610 IZ196610:JE196610 SV196610:TA196610 ACR196610:ACW196610 AMN196610:AMS196610 AWJ196610:AWO196610 BGF196610:BGK196610 BQB196610:BQG196610 BZX196610:CAC196610 CJT196610:CJY196610 CTP196610:CTU196610 DDL196610:DDQ196610 DNH196610:DNM196610 DXD196610:DXI196610 EGZ196610:EHE196610 EQV196610:ERA196610 FAR196610:FAW196610 FKN196610:FKS196610 FUJ196610:FUO196610 GEF196610:GEK196610 GOB196610:GOG196610 GXX196610:GYC196610 HHT196610:HHY196610 HRP196610:HRU196610 IBL196610:IBQ196610 ILH196610:ILM196610 IVD196610:IVI196610 JEZ196610:JFE196610 JOV196610:JPA196610 JYR196610:JYW196610 KIN196610:KIS196610 KSJ196610:KSO196610 LCF196610:LCK196610 LMB196610:LMG196610 LVX196610:LWC196610 MFT196610:MFY196610 MPP196610:MPU196610 MZL196610:MZQ196610 NJH196610:NJM196610 NTD196610:NTI196610 OCZ196610:ODE196610 OMV196610:ONA196610 OWR196610:OWW196610 PGN196610:PGS196610 PQJ196610:PQO196610 QAF196610:QAK196610 QKB196610:QKG196610 QTX196610:QUC196610 RDT196610:RDY196610 RNP196610:RNU196610 RXL196610:RXQ196610 SHH196610:SHM196610 SRD196610:SRI196610 TAZ196610:TBE196610 TKV196610:TLA196610 TUR196610:TUW196610 UEN196610:UES196610 UOJ196610:UOO196610 UYF196610:UYK196610 VIB196610:VIG196610 VRX196610:VSC196610 WBT196610:WBY196610 WLP196610:WLU196610 WVL196610:WVQ196610 D262146:I262146 IZ262146:JE262146 SV262146:TA262146 ACR262146:ACW262146 AMN262146:AMS262146 AWJ262146:AWO262146 BGF262146:BGK262146 BQB262146:BQG262146 BZX262146:CAC262146 CJT262146:CJY262146 CTP262146:CTU262146 DDL262146:DDQ262146 DNH262146:DNM262146 DXD262146:DXI262146 EGZ262146:EHE262146 EQV262146:ERA262146 FAR262146:FAW262146 FKN262146:FKS262146 FUJ262146:FUO262146 GEF262146:GEK262146 GOB262146:GOG262146 GXX262146:GYC262146 HHT262146:HHY262146 HRP262146:HRU262146 IBL262146:IBQ262146 ILH262146:ILM262146 IVD262146:IVI262146 JEZ262146:JFE262146 JOV262146:JPA262146 JYR262146:JYW262146 KIN262146:KIS262146 KSJ262146:KSO262146 LCF262146:LCK262146 LMB262146:LMG262146 LVX262146:LWC262146 MFT262146:MFY262146 MPP262146:MPU262146 MZL262146:MZQ262146 NJH262146:NJM262146 NTD262146:NTI262146 OCZ262146:ODE262146 OMV262146:ONA262146 OWR262146:OWW262146 PGN262146:PGS262146 PQJ262146:PQO262146 QAF262146:QAK262146 QKB262146:QKG262146 QTX262146:QUC262146 RDT262146:RDY262146 RNP262146:RNU262146 RXL262146:RXQ262146 SHH262146:SHM262146 SRD262146:SRI262146 TAZ262146:TBE262146 TKV262146:TLA262146 TUR262146:TUW262146 UEN262146:UES262146 UOJ262146:UOO262146 UYF262146:UYK262146 VIB262146:VIG262146 VRX262146:VSC262146 WBT262146:WBY262146 WLP262146:WLU262146 WVL262146:WVQ262146 D327682:I327682 IZ327682:JE327682 SV327682:TA327682 ACR327682:ACW327682 AMN327682:AMS327682 AWJ327682:AWO327682 BGF327682:BGK327682 BQB327682:BQG327682 BZX327682:CAC327682 CJT327682:CJY327682 CTP327682:CTU327682 DDL327682:DDQ327682 DNH327682:DNM327682 DXD327682:DXI327682 EGZ327682:EHE327682 EQV327682:ERA327682 FAR327682:FAW327682 FKN327682:FKS327682 FUJ327682:FUO327682 GEF327682:GEK327682 GOB327682:GOG327682 GXX327682:GYC327682 HHT327682:HHY327682 HRP327682:HRU327682 IBL327682:IBQ327682 ILH327682:ILM327682 IVD327682:IVI327682 JEZ327682:JFE327682 JOV327682:JPA327682 JYR327682:JYW327682 KIN327682:KIS327682 KSJ327682:KSO327682 LCF327682:LCK327682 LMB327682:LMG327682 LVX327682:LWC327682 MFT327682:MFY327682 MPP327682:MPU327682 MZL327682:MZQ327682 NJH327682:NJM327682 NTD327682:NTI327682 OCZ327682:ODE327682 OMV327682:ONA327682 OWR327682:OWW327682 PGN327682:PGS327682 PQJ327682:PQO327682 QAF327682:QAK327682 QKB327682:QKG327682 QTX327682:QUC327682 RDT327682:RDY327682 RNP327682:RNU327682 RXL327682:RXQ327682 SHH327682:SHM327682 SRD327682:SRI327682 TAZ327682:TBE327682 TKV327682:TLA327682 TUR327682:TUW327682 UEN327682:UES327682 UOJ327682:UOO327682 UYF327682:UYK327682 VIB327682:VIG327682 VRX327682:VSC327682 WBT327682:WBY327682 WLP327682:WLU327682 WVL327682:WVQ327682 D393218:I393218 IZ393218:JE393218 SV393218:TA393218 ACR393218:ACW393218 AMN393218:AMS393218 AWJ393218:AWO393218 BGF393218:BGK393218 BQB393218:BQG393218 BZX393218:CAC393218 CJT393218:CJY393218 CTP393218:CTU393218 DDL393218:DDQ393218 DNH393218:DNM393218 DXD393218:DXI393218 EGZ393218:EHE393218 EQV393218:ERA393218 FAR393218:FAW393218 FKN393218:FKS393218 FUJ393218:FUO393218 GEF393218:GEK393218 GOB393218:GOG393218 GXX393218:GYC393218 HHT393218:HHY393218 HRP393218:HRU393218 IBL393218:IBQ393218 ILH393218:ILM393218 IVD393218:IVI393218 JEZ393218:JFE393218 JOV393218:JPA393218 JYR393218:JYW393218 KIN393218:KIS393218 KSJ393218:KSO393218 LCF393218:LCK393218 LMB393218:LMG393218 LVX393218:LWC393218 MFT393218:MFY393218 MPP393218:MPU393218 MZL393218:MZQ393218 NJH393218:NJM393218 NTD393218:NTI393218 OCZ393218:ODE393218 OMV393218:ONA393218 OWR393218:OWW393218 PGN393218:PGS393218 PQJ393218:PQO393218 QAF393218:QAK393218 QKB393218:QKG393218 QTX393218:QUC393218 RDT393218:RDY393218 RNP393218:RNU393218 RXL393218:RXQ393218 SHH393218:SHM393218 SRD393218:SRI393218 TAZ393218:TBE393218 TKV393218:TLA393218 TUR393218:TUW393218 UEN393218:UES393218 UOJ393218:UOO393218 UYF393218:UYK393218 VIB393218:VIG393218 VRX393218:VSC393218 WBT393218:WBY393218 WLP393218:WLU393218 WVL393218:WVQ393218 D458754:I458754 IZ458754:JE458754 SV458754:TA458754 ACR458754:ACW458754 AMN458754:AMS458754 AWJ458754:AWO458754 BGF458754:BGK458754 BQB458754:BQG458754 BZX458754:CAC458754 CJT458754:CJY458754 CTP458754:CTU458754 DDL458754:DDQ458754 DNH458754:DNM458754 DXD458754:DXI458754 EGZ458754:EHE458754 EQV458754:ERA458754 FAR458754:FAW458754 FKN458754:FKS458754 FUJ458754:FUO458754 GEF458754:GEK458754 GOB458754:GOG458754 GXX458754:GYC458754 HHT458754:HHY458754 HRP458754:HRU458754 IBL458754:IBQ458754 ILH458754:ILM458754 IVD458754:IVI458754 JEZ458754:JFE458754 JOV458754:JPA458754 JYR458754:JYW458754 KIN458754:KIS458754 KSJ458754:KSO458754 LCF458754:LCK458754 LMB458754:LMG458754 LVX458754:LWC458754 MFT458754:MFY458754 MPP458754:MPU458754 MZL458754:MZQ458754 NJH458754:NJM458754 NTD458754:NTI458754 OCZ458754:ODE458754 OMV458754:ONA458754 OWR458754:OWW458754 PGN458754:PGS458754 PQJ458754:PQO458754 QAF458754:QAK458754 QKB458754:QKG458754 QTX458754:QUC458754 RDT458754:RDY458754 RNP458754:RNU458754 RXL458754:RXQ458754 SHH458754:SHM458754 SRD458754:SRI458754 TAZ458754:TBE458754 TKV458754:TLA458754 TUR458754:TUW458754 UEN458754:UES458754 UOJ458754:UOO458754 UYF458754:UYK458754 VIB458754:VIG458754 VRX458754:VSC458754 WBT458754:WBY458754 WLP458754:WLU458754 WVL458754:WVQ458754 D524290:I524290 IZ524290:JE524290 SV524290:TA524290 ACR524290:ACW524290 AMN524290:AMS524290 AWJ524290:AWO524290 BGF524290:BGK524290 BQB524290:BQG524290 BZX524290:CAC524290 CJT524290:CJY524290 CTP524290:CTU524290 DDL524290:DDQ524290 DNH524290:DNM524290 DXD524290:DXI524290 EGZ524290:EHE524290 EQV524290:ERA524290 FAR524290:FAW524290 FKN524290:FKS524290 FUJ524290:FUO524290 GEF524290:GEK524290 GOB524290:GOG524290 GXX524290:GYC524290 HHT524290:HHY524290 HRP524290:HRU524290 IBL524290:IBQ524290 ILH524290:ILM524290 IVD524290:IVI524290 JEZ524290:JFE524290 JOV524290:JPA524290 JYR524290:JYW524290 KIN524290:KIS524290 KSJ524290:KSO524290 LCF524290:LCK524290 LMB524290:LMG524290 LVX524290:LWC524290 MFT524290:MFY524290 MPP524290:MPU524290 MZL524290:MZQ524290 NJH524290:NJM524290 NTD524290:NTI524290 OCZ524290:ODE524290 OMV524290:ONA524290 OWR524290:OWW524290 PGN524290:PGS524290 PQJ524290:PQO524290 QAF524290:QAK524290 QKB524290:QKG524290 QTX524290:QUC524290 RDT524290:RDY524290 RNP524290:RNU524290 RXL524290:RXQ524290 SHH524290:SHM524290 SRD524290:SRI524290 TAZ524290:TBE524290 TKV524290:TLA524290 TUR524290:TUW524290 UEN524290:UES524290 UOJ524290:UOO524290 UYF524290:UYK524290 VIB524290:VIG524290 VRX524290:VSC524290 WBT524290:WBY524290 WLP524290:WLU524290 WVL524290:WVQ524290 D589826:I589826 IZ589826:JE589826 SV589826:TA589826 ACR589826:ACW589826 AMN589826:AMS589826 AWJ589826:AWO589826 BGF589826:BGK589826 BQB589826:BQG589826 BZX589826:CAC589826 CJT589826:CJY589826 CTP589826:CTU589826 DDL589826:DDQ589826 DNH589826:DNM589826 DXD589826:DXI589826 EGZ589826:EHE589826 EQV589826:ERA589826 FAR589826:FAW589826 FKN589826:FKS589826 FUJ589826:FUO589826 GEF589826:GEK589826 GOB589826:GOG589826 GXX589826:GYC589826 HHT589826:HHY589826 HRP589826:HRU589826 IBL589826:IBQ589826 ILH589826:ILM589826 IVD589826:IVI589826 JEZ589826:JFE589826 JOV589826:JPA589826 JYR589826:JYW589826 KIN589826:KIS589826 KSJ589826:KSO589826 LCF589826:LCK589826 LMB589826:LMG589826 LVX589826:LWC589826 MFT589826:MFY589826 MPP589826:MPU589826 MZL589826:MZQ589826 NJH589826:NJM589826 NTD589826:NTI589826 OCZ589826:ODE589826 OMV589826:ONA589826 OWR589826:OWW589826 PGN589826:PGS589826 PQJ589826:PQO589826 QAF589826:QAK589826 QKB589826:QKG589826 QTX589826:QUC589826 RDT589826:RDY589826 RNP589826:RNU589826 RXL589826:RXQ589826 SHH589826:SHM589826 SRD589826:SRI589826 TAZ589826:TBE589826 TKV589826:TLA589826 TUR589826:TUW589826 UEN589826:UES589826 UOJ589826:UOO589826 UYF589826:UYK589826 VIB589826:VIG589826 VRX589826:VSC589826 WBT589826:WBY589826 WLP589826:WLU589826 WVL589826:WVQ589826 D655362:I655362 IZ655362:JE655362 SV655362:TA655362 ACR655362:ACW655362 AMN655362:AMS655362 AWJ655362:AWO655362 BGF655362:BGK655362 BQB655362:BQG655362 BZX655362:CAC655362 CJT655362:CJY655362 CTP655362:CTU655362 DDL655362:DDQ655362 DNH655362:DNM655362 DXD655362:DXI655362 EGZ655362:EHE655362 EQV655362:ERA655362 FAR655362:FAW655362 FKN655362:FKS655362 FUJ655362:FUO655362 GEF655362:GEK655362 GOB655362:GOG655362 GXX655362:GYC655362 HHT655362:HHY655362 HRP655362:HRU655362 IBL655362:IBQ655362 ILH655362:ILM655362 IVD655362:IVI655362 JEZ655362:JFE655362 JOV655362:JPA655362 JYR655362:JYW655362 KIN655362:KIS655362 KSJ655362:KSO655362 LCF655362:LCK655362 LMB655362:LMG655362 LVX655362:LWC655362 MFT655362:MFY655362 MPP655362:MPU655362 MZL655362:MZQ655362 NJH655362:NJM655362 NTD655362:NTI655362 OCZ655362:ODE655362 OMV655362:ONA655362 OWR655362:OWW655362 PGN655362:PGS655362 PQJ655362:PQO655362 QAF655362:QAK655362 QKB655362:QKG655362 QTX655362:QUC655362 RDT655362:RDY655362 RNP655362:RNU655362 RXL655362:RXQ655362 SHH655362:SHM655362 SRD655362:SRI655362 TAZ655362:TBE655362 TKV655362:TLA655362 TUR655362:TUW655362 UEN655362:UES655362 UOJ655362:UOO655362 UYF655362:UYK655362 VIB655362:VIG655362 VRX655362:VSC655362 WBT655362:WBY655362 WLP655362:WLU655362 WVL655362:WVQ655362 D720898:I720898 IZ720898:JE720898 SV720898:TA720898 ACR720898:ACW720898 AMN720898:AMS720898 AWJ720898:AWO720898 BGF720898:BGK720898 BQB720898:BQG720898 BZX720898:CAC720898 CJT720898:CJY720898 CTP720898:CTU720898 DDL720898:DDQ720898 DNH720898:DNM720898 DXD720898:DXI720898 EGZ720898:EHE720898 EQV720898:ERA720898 FAR720898:FAW720898 FKN720898:FKS720898 FUJ720898:FUO720898 GEF720898:GEK720898 GOB720898:GOG720898 GXX720898:GYC720898 HHT720898:HHY720898 HRP720898:HRU720898 IBL720898:IBQ720898 ILH720898:ILM720898 IVD720898:IVI720898 JEZ720898:JFE720898 JOV720898:JPA720898 JYR720898:JYW720898 KIN720898:KIS720898 KSJ720898:KSO720898 LCF720898:LCK720898 LMB720898:LMG720898 LVX720898:LWC720898 MFT720898:MFY720898 MPP720898:MPU720898 MZL720898:MZQ720898 NJH720898:NJM720898 NTD720898:NTI720898 OCZ720898:ODE720898 OMV720898:ONA720898 OWR720898:OWW720898 PGN720898:PGS720898 PQJ720898:PQO720898 QAF720898:QAK720898 QKB720898:QKG720898 QTX720898:QUC720898 RDT720898:RDY720898 RNP720898:RNU720898 RXL720898:RXQ720898 SHH720898:SHM720898 SRD720898:SRI720898 TAZ720898:TBE720898 TKV720898:TLA720898 TUR720898:TUW720898 UEN720898:UES720898 UOJ720898:UOO720898 UYF720898:UYK720898 VIB720898:VIG720898 VRX720898:VSC720898 WBT720898:WBY720898 WLP720898:WLU720898 WVL720898:WVQ720898 D786434:I786434 IZ786434:JE786434 SV786434:TA786434 ACR786434:ACW786434 AMN786434:AMS786434 AWJ786434:AWO786434 BGF786434:BGK786434 BQB786434:BQG786434 BZX786434:CAC786434 CJT786434:CJY786434 CTP786434:CTU786434 DDL786434:DDQ786434 DNH786434:DNM786434 DXD786434:DXI786434 EGZ786434:EHE786434 EQV786434:ERA786434 FAR786434:FAW786434 FKN786434:FKS786434 FUJ786434:FUO786434 GEF786434:GEK786434 GOB786434:GOG786434 GXX786434:GYC786434 HHT786434:HHY786434 HRP786434:HRU786434 IBL786434:IBQ786434 ILH786434:ILM786434 IVD786434:IVI786434 JEZ786434:JFE786434 JOV786434:JPA786434 JYR786434:JYW786434 KIN786434:KIS786434 KSJ786434:KSO786434 LCF786434:LCK786434 LMB786434:LMG786434 LVX786434:LWC786434 MFT786434:MFY786434 MPP786434:MPU786434 MZL786434:MZQ786434 NJH786434:NJM786434 NTD786434:NTI786434 OCZ786434:ODE786434 OMV786434:ONA786434 OWR786434:OWW786434 PGN786434:PGS786434 PQJ786434:PQO786434 QAF786434:QAK786434 QKB786434:QKG786434 QTX786434:QUC786434 RDT786434:RDY786434 RNP786434:RNU786434 RXL786434:RXQ786434 SHH786434:SHM786434 SRD786434:SRI786434 TAZ786434:TBE786434 TKV786434:TLA786434 TUR786434:TUW786434 UEN786434:UES786434 UOJ786434:UOO786434 UYF786434:UYK786434 VIB786434:VIG786434 VRX786434:VSC786434 WBT786434:WBY786434 WLP786434:WLU786434 WVL786434:WVQ786434 D851970:I851970 IZ851970:JE851970 SV851970:TA851970 ACR851970:ACW851970 AMN851970:AMS851970 AWJ851970:AWO851970 BGF851970:BGK851970 BQB851970:BQG851970 BZX851970:CAC851970 CJT851970:CJY851970 CTP851970:CTU851970 DDL851970:DDQ851970 DNH851970:DNM851970 DXD851970:DXI851970 EGZ851970:EHE851970 EQV851970:ERA851970 FAR851970:FAW851970 FKN851970:FKS851970 FUJ851970:FUO851970 GEF851970:GEK851970 GOB851970:GOG851970 GXX851970:GYC851970 HHT851970:HHY851970 HRP851970:HRU851970 IBL851970:IBQ851970 ILH851970:ILM851970 IVD851970:IVI851970 JEZ851970:JFE851970 JOV851970:JPA851970 JYR851970:JYW851970 KIN851970:KIS851970 KSJ851970:KSO851970 LCF851970:LCK851970 LMB851970:LMG851970 LVX851970:LWC851970 MFT851970:MFY851970 MPP851970:MPU851970 MZL851970:MZQ851970 NJH851970:NJM851970 NTD851970:NTI851970 OCZ851970:ODE851970 OMV851970:ONA851970 OWR851970:OWW851970 PGN851970:PGS851970 PQJ851970:PQO851970 QAF851970:QAK851970 QKB851970:QKG851970 QTX851970:QUC851970 RDT851970:RDY851970 RNP851970:RNU851970 RXL851970:RXQ851970 SHH851970:SHM851970 SRD851970:SRI851970 TAZ851970:TBE851970 TKV851970:TLA851970 TUR851970:TUW851970 UEN851970:UES851970 UOJ851970:UOO851970 UYF851970:UYK851970 VIB851970:VIG851970 VRX851970:VSC851970 WBT851970:WBY851970 WLP851970:WLU851970 WVL851970:WVQ851970 D917506:I917506 IZ917506:JE917506 SV917506:TA917506 ACR917506:ACW917506 AMN917506:AMS917506 AWJ917506:AWO917506 BGF917506:BGK917506 BQB917506:BQG917506 BZX917506:CAC917506 CJT917506:CJY917506 CTP917506:CTU917506 DDL917506:DDQ917506 DNH917506:DNM917506 DXD917506:DXI917506 EGZ917506:EHE917506 EQV917506:ERA917506 FAR917506:FAW917506 FKN917506:FKS917506 FUJ917506:FUO917506 GEF917506:GEK917506 GOB917506:GOG917506 GXX917506:GYC917506 HHT917506:HHY917506 HRP917506:HRU917506 IBL917506:IBQ917506 ILH917506:ILM917506 IVD917506:IVI917506 JEZ917506:JFE917506 JOV917506:JPA917506 JYR917506:JYW917506 KIN917506:KIS917506 KSJ917506:KSO917506 LCF917506:LCK917506 LMB917506:LMG917506 LVX917506:LWC917506 MFT917506:MFY917506 MPP917506:MPU917506 MZL917506:MZQ917506 NJH917506:NJM917506 NTD917506:NTI917506 OCZ917506:ODE917506 OMV917506:ONA917506 OWR917506:OWW917506 PGN917506:PGS917506 PQJ917506:PQO917506 QAF917506:QAK917506 QKB917506:QKG917506 QTX917506:QUC917506 RDT917506:RDY917506 RNP917506:RNU917506 RXL917506:RXQ917506 SHH917506:SHM917506 SRD917506:SRI917506 TAZ917506:TBE917506 TKV917506:TLA917506 TUR917506:TUW917506 UEN917506:UES917506 UOJ917506:UOO917506 UYF917506:UYK917506 VIB917506:VIG917506 VRX917506:VSC917506 WBT917506:WBY917506 WLP917506:WLU917506 WVL917506:WVQ917506 D983042:I983042 IZ983042:JE983042 SV983042:TA983042 ACR983042:ACW983042 AMN983042:AMS983042 AWJ983042:AWO983042 BGF983042:BGK983042 BQB983042:BQG983042 BZX983042:CAC983042 CJT983042:CJY983042 CTP983042:CTU983042 DDL983042:DDQ983042 DNH983042:DNM983042 DXD983042:DXI983042 EGZ983042:EHE983042 EQV983042:ERA983042 FAR983042:FAW983042 FKN983042:FKS983042 FUJ983042:FUO983042 GEF983042:GEK983042 GOB983042:GOG983042 GXX983042:GYC983042 HHT983042:HHY983042 HRP983042:HRU983042 IBL983042:IBQ983042 ILH983042:ILM983042 IVD983042:IVI983042 JEZ983042:JFE983042 JOV983042:JPA983042 JYR983042:JYW983042 KIN983042:KIS983042 KSJ983042:KSO983042 LCF983042:LCK983042 LMB983042:LMG983042 LVX983042:LWC983042 MFT983042:MFY983042 MPP983042:MPU983042 MZL983042:MZQ983042 NJH983042:NJM983042 NTD983042:NTI983042 OCZ983042:ODE983042 OMV983042:ONA983042 OWR983042:OWW983042 PGN983042:PGS983042 PQJ983042:PQO983042 QAF983042:QAK983042 QKB983042:QKG983042 QTX983042:QUC983042 RDT983042:RDY983042 RNP983042:RNU983042 RXL983042:RXQ983042 SHH983042:SHM983042 SRD983042:SRI983042 TAZ983042:TBE983042 TKV983042:TLA983042 TUR983042:TUW983042 UEN983042:UES983042 UOJ983042:UOO983042 UYF983042:UYK983042 VIB983042:VIG983042 VRX983042:VSC983042 WBT983042:WBY983042 WLP983042:WLU983042 WVL983042:WVQ983042 D7:I7" xr:uid="{DE18E46C-25BA-4A53-A368-55D7FF23E8DE}">
      <formula1>"有,無"</formula1>
    </dataValidation>
    <dataValidation type="list" allowBlank="1" showInputMessage="1" showErrorMessage="1" sqref="D6:I6 IZ6:JE6 SV6:TA6 ACR6:ACW6 AMN6:AMS6 AWJ6:AWO6 BGF6:BGK6 BQB6:BQG6 BZX6:CAC6 CJT6:CJY6 CTP6:CTU6 DDL6:DDQ6 DNH6:DNM6 DXD6:DXI6 EGZ6:EHE6 EQV6:ERA6 FAR6:FAW6 FKN6:FKS6 FUJ6:FUO6 GEF6:GEK6 GOB6:GOG6 GXX6:GYC6 HHT6:HHY6 HRP6:HRU6 IBL6:IBQ6 ILH6:ILM6 IVD6:IVI6 JEZ6:JFE6 JOV6:JPA6 JYR6:JYW6 KIN6:KIS6 KSJ6:KSO6 LCF6:LCK6 LMB6:LMG6 LVX6:LWC6 MFT6:MFY6 MPP6:MPU6 MZL6:MZQ6 NJH6:NJM6 NTD6:NTI6 OCZ6:ODE6 OMV6:ONA6 OWR6:OWW6 PGN6:PGS6 PQJ6:PQO6 QAF6:QAK6 QKB6:QKG6 QTX6:QUC6 RDT6:RDY6 RNP6:RNU6 RXL6:RXQ6 SHH6:SHM6 SRD6:SRI6 TAZ6:TBE6 TKV6:TLA6 TUR6:TUW6 UEN6:UES6 UOJ6:UOO6 UYF6:UYK6 VIB6:VIG6 VRX6:VSC6 WBT6:WBY6 WLP6:WLU6 WVL6:WVQ6 D65541:I65541 IZ65541:JE65541 SV65541:TA65541 ACR65541:ACW65541 AMN65541:AMS65541 AWJ65541:AWO65541 BGF65541:BGK65541 BQB65541:BQG65541 BZX65541:CAC65541 CJT65541:CJY65541 CTP65541:CTU65541 DDL65541:DDQ65541 DNH65541:DNM65541 DXD65541:DXI65541 EGZ65541:EHE65541 EQV65541:ERA65541 FAR65541:FAW65541 FKN65541:FKS65541 FUJ65541:FUO65541 GEF65541:GEK65541 GOB65541:GOG65541 GXX65541:GYC65541 HHT65541:HHY65541 HRP65541:HRU65541 IBL65541:IBQ65541 ILH65541:ILM65541 IVD65541:IVI65541 JEZ65541:JFE65541 JOV65541:JPA65541 JYR65541:JYW65541 KIN65541:KIS65541 KSJ65541:KSO65541 LCF65541:LCK65541 LMB65541:LMG65541 LVX65541:LWC65541 MFT65541:MFY65541 MPP65541:MPU65541 MZL65541:MZQ65541 NJH65541:NJM65541 NTD65541:NTI65541 OCZ65541:ODE65541 OMV65541:ONA65541 OWR65541:OWW65541 PGN65541:PGS65541 PQJ65541:PQO65541 QAF65541:QAK65541 QKB65541:QKG65541 QTX65541:QUC65541 RDT65541:RDY65541 RNP65541:RNU65541 RXL65541:RXQ65541 SHH65541:SHM65541 SRD65541:SRI65541 TAZ65541:TBE65541 TKV65541:TLA65541 TUR65541:TUW65541 UEN65541:UES65541 UOJ65541:UOO65541 UYF65541:UYK65541 VIB65541:VIG65541 VRX65541:VSC65541 WBT65541:WBY65541 WLP65541:WLU65541 WVL65541:WVQ65541 D131077:I131077 IZ131077:JE131077 SV131077:TA131077 ACR131077:ACW131077 AMN131077:AMS131077 AWJ131077:AWO131077 BGF131077:BGK131077 BQB131077:BQG131077 BZX131077:CAC131077 CJT131077:CJY131077 CTP131077:CTU131077 DDL131077:DDQ131077 DNH131077:DNM131077 DXD131077:DXI131077 EGZ131077:EHE131077 EQV131077:ERA131077 FAR131077:FAW131077 FKN131077:FKS131077 FUJ131077:FUO131077 GEF131077:GEK131077 GOB131077:GOG131077 GXX131077:GYC131077 HHT131077:HHY131077 HRP131077:HRU131077 IBL131077:IBQ131077 ILH131077:ILM131077 IVD131077:IVI131077 JEZ131077:JFE131077 JOV131077:JPA131077 JYR131077:JYW131077 KIN131077:KIS131077 KSJ131077:KSO131077 LCF131077:LCK131077 LMB131077:LMG131077 LVX131077:LWC131077 MFT131077:MFY131077 MPP131077:MPU131077 MZL131077:MZQ131077 NJH131077:NJM131077 NTD131077:NTI131077 OCZ131077:ODE131077 OMV131077:ONA131077 OWR131077:OWW131077 PGN131077:PGS131077 PQJ131077:PQO131077 QAF131077:QAK131077 QKB131077:QKG131077 QTX131077:QUC131077 RDT131077:RDY131077 RNP131077:RNU131077 RXL131077:RXQ131077 SHH131077:SHM131077 SRD131077:SRI131077 TAZ131077:TBE131077 TKV131077:TLA131077 TUR131077:TUW131077 UEN131077:UES131077 UOJ131077:UOO131077 UYF131077:UYK131077 VIB131077:VIG131077 VRX131077:VSC131077 WBT131077:WBY131077 WLP131077:WLU131077 WVL131077:WVQ131077 D196613:I196613 IZ196613:JE196613 SV196613:TA196613 ACR196613:ACW196613 AMN196613:AMS196613 AWJ196613:AWO196613 BGF196613:BGK196613 BQB196613:BQG196613 BZX196613:CAC196613 CJT196613:CJY196613 CTP196613:CTU196613 DDL196613:DDQ196613 DNH196613:DNM196613 DXD196613:DXI196613 EGZ196613:EHE196613 EQV196613:ERA196613 FAR196613:FAW196613 FKN196613:FKS196613 FUJ196613:FUO196613 GEF196613:GEK196613 GOB196613:GOG196613 GXX196613:GYC196613 HHT196613:HHY196613 HRP196613:HRU196613 IBL196613:IBQ196613 ILH196613:ILM196613 IVD196613:IVI196613 JEZ196613:JFE196613 JOV196613:JPA196613 JYR196613:JYW196613 KIN196613:KIS196613 KSJ196613:KSO196613 LCF196613:LCK196613 LMB196613:LMG196613 LVX196613:LWC196613 MFT196613:MFY196613 MPP196613:MPU196613 MZL196613:MZQ196613 NJH196613:NJM196613 NTD196613:NTI196613 OCZ196613:ODE196613 OMV196613:ONA196613 OWR196613:OWW196613 PGN196613:PGS196613 PQJ196613:PQO196613 QAF196613:QAK196613 QKB196613:QKG196613 QTX196613:QUC196613 RDT196613:RDY196613 RNP196613:RNU196613 RXL196613:RXQ196613 SHH196613:SHM196613 SRD196613:SRI196613 TAZ196613:TBE196613 TKV196613:TLA196613 TUR196613:TUW196613 UEN196613:UES196613 UOJ196613:UOO196613 UYF196613:UYK196613 VIB196613:VIG196613 VRX196613:VSC196613 WBT196613:WBY196613 WLP196613:WLU196613 WVL196613:WVQ196613 D262149:I262149 IZ262149:JE262149 SV262149:TA262149 ACR262149:ACW262149 AMN262149:AMS262149 AWJ262149:AWO262149 BGF262149:BGK262149 BQB262149:BQG262149 BZX262149:CAC262149 CJT262149:CJY262149 CTP262149:CTU262149 DDL262149:DDQ262149 DNH262149:DNM262149 DXD262149:DXI262149 EGZ262149:EHE262149 EQV262149:ERA262149 FAR262149:FAW262149 FKN262149:FKS262149 FUJ262149:FUO262149 GEF262149:GEK262149 GOB262149:GOG262149 GXX262149:GYC262149 HHT262149:HHY262149 HRP262149:HRU262149 IBL262149:IBQ262149 ILH262149:ILM262149 IVD262149:IVI262149 JEZ262149:JFE262149 JOV262149:JPA262149 JYR262149:JYW262149 KIN262149:KIS262149 KSJ262149:KSO262149 LCF262149:LCK262149 LMB262149:LMG262149 LVX262149:LWC262149 MFT262149:MFY262149 MPP262149:MPU262149 MZL262149:MZQ262149 NJH262149:NJM262149 NTD262149:NTI262149 OCZ262149:ODE262149 OMV262149:ONA262149 OWR262149:OWW262149 PGN262149:PGS262149 PQJ262149:PQO262149 QAF262149:QAK262149 QKB262149:QKG262149 QTX262149:QUC262149 RDT262149:RDY262149 RNP262149:RNU262149 RXL262149:RXQ262149 SHH262149:SHM262149 SRD262149:SRI262149 TAZ262149:TBE262149 TKV262149:TLA262149 TUR262149:TUW262149 UEN262149:UES262149 UOJ262149:UOO262149 UYF262149:UYK262149 VIB262149:VIG262149 VRX262149:VSC262149 WBT262149:WBY262149 WLP262149:WLU262149 WVL262149:WVQ262149 D327685:I327685 IZ327685:JE327685 SV327685:TA327685 ACR327685:ACW327685 AMN327685:AMS327685 AWJ327685:AWO327685 BGF327685:BGK327685 BQB327685:BQG327685 BZX327685:CAC327685 CJT327685:CJY327685 CTP327685:CTU327685 DDL327685:DDQ327685 DNH327685:DNM327685 DXD327685:DXI327685 EGZ327685:EHE327685 EQV327685:ERA327685 FAR327685:FAW327685 FKN327685:FKS327685 FUJ327685:FUO327685 GEF327685:GEK327685 GOB327685:GOG327685 GXX327685:GYC327685 HHT327685:HHY327685 HRP327685:HRU327685 IBL327685:IBQ327685 ILH327685:ILM327685 IVD327685:IVI327685 JEZ327685:JFE327685 JOV327685:JPA327685 JYR327685:JYW327685 KIN327685:KIS327685 KSJ327685:KSO327685 LCF327685:LCK327685 LMB327685:LMG327685 LVX327685:LWC327685 MFT327685:MFY327685 MPP327685:MPU327685 MZL327685:MZQ327685 NJH327685:NJM327685 NTD327685:NTI327685 OCZ327685:ODE327685 OMV327685:ONA327685 OWR327685:OWW327685 PGN327685:PGS327685 PQJ327685:PQO327685 QAF327685:QAK327685 QKB327685:QKG327685 QTX327685:QUC327685 RDT327685:RDY327685 RNP327685:RNU327685 RXL327685:RXQ327685 SHH327685:SHM327685 SRD327685:SRI327685 TAZ327685:TBE327685 TKV327685:TLA327685 TUR327685:TUW327685 UEN327685:UES327685 UOJ327685:UOO327685 UYF327685:UYK327685 VIB327685:VIG327685 VRX327685:VSC327685 WBT327685:WBY327685 WLP327685:WLU327685 WVL327685:WVQ327685 D393221:I393221 IZ393221:JE393221 SV393221:TA393221 ACR393221:ACW393221 AMN393221:AMS393221 AWJ393221:AWO393221 BGF393221:BGK393221 BQB393221:BQG393221 BZX393221:CAC393221 CJT393221:CJY393221 CTP393221:CTU393221 DDL393221:DDQ393221 DNH393221:DNM393221 DXD393221:DXI393221 EGZ393221:EHE393221 EQV393221:ERA393221 FAR393221:FAW393221 FKN393221:FKS393221 FUJ393221:FUO393221 GEF393221:GEK393221 GOB393221:GOG393221 GXX393221:GYC393221 HHT393221:HHY393221 HRP393221:HRU393221 IBL393221:IBQ393221 ILH393221:ILM393221 IVD393221:IVI393221 JEZ393221:JFE393221 JOV393221:JPA393221 JYR393221:JYW393221 KIN393221:KIS393221 KSJ393221:KSO393221 LCF393221:LCK393221 LMB393221:LMG393221 LVX393221:LWC393221 MFT393221:MFY393221 MPP393221:MPU393221 MZL393221:MZQ393221 NJH393221:NJM393221 NTD393221:NTI393221 OCZ393221:ODE393221 OMV393221:ONA393221 OWR393221:OWW393221 PGN393221:PGS393221 PQJ393221:PQO393221 QAF393221:QAK393221 QKB393221:QKG393221 QTX393221:QUC393221 RDT393221:RDY393221 RNP393221:RNU393221 RXL393221:RXQ393221 SHH393221:SHM393221 SRD393221:SRI393221 TAZ393221:TBE393221 TKV393221:TLA393221 TUR393221:TUW393221 UEN393221:UES393221 UOJ393221:UOO393221 UYF393221:UYK393221 VIB393221:VIG393221 VRX393221:VSC393221 WBT393221:WBY393221 WLP393221:WLU393221 WVL393221:WVQ393221 D458757:I458757 IZ458757:JE458757 SV458757:TA458757 ACR458757:ACW458757 AMN458757:AMS458757 AWJ458757:AWO458757 BGF458757:BGK458757 BQB458757:BQG458757 BZX458757:CAC458757 CJT458757:CJY458757 CTP458757:CTU458757 DDL458757:DDQ458757 DNH458757:DNM458757 DXD458757:DXI458757 EGZ458757:EHE458757 EQV458757:ERA458757 FAR458757:FAW458757 FKN458757:FKS458757 FUJ458757:FUO458757 GEF458757:GEK458757 GOB458757:GOG458757 GXX458757:GYC458757 HHT458757:HHY458757 HRP458757:HRU458757 IBL458757:IBQ458757 ILH458757:ILM458757 IVD458757:IVI458757 JEZ458757:JFE458757 JOV458757:JPA458757 JYR458757:JYW458757 KIN458757:KIS458757 KSJ458757:KSO458757 LCF458757:LCK458757 LMB458757:LMG458757 LVX458757:LWC458757 MFT458757:MFY458757 MPP458757:MPU458757 MZL458757:MZQ458757 NJH458757:NJM458757 NTD458757:NTI458757 OCZ458757:ODE458757 OMV458757:ONA458757 OWR458757:OWW458757 PGN458757:PGS458757 PQJ458757:PQO458757 QAF458757:QAK458757 QKB458757:QKG458757 QTX458757:QUC458757 RDT458757:RDY458757 RNP458757:RNU458757 RXL458757:RXQ458757 SHH458757:SHM458757 SRD458757:SRI458757 TAZ458757:TBE458757 TKV458757:TLA458757 TUR458757:TUW458757 UEN458757:UES458757 UOJ458757:UOO458757 UYF458757:UYK458757 VIB458757:VIG458757 VRX458757:VSC458757 WBT458757:WBY458757 WLP458757:WLU458757 WVL458757:WVQ458757 D524293:I524293 IZ524293:JE524293 SV524293:TA524293 ACR524293:ACW524293 AMN524293:AMS524293 AWJ524293:AWO524293 BGF524293:BGK524293 BQB524293:BQG524293 BZX524293:CAC524293 CJT524293:CJY524293 CTP524293:CTU524293 DDL524293:DDQ524293 DNH524293:DNM524293 DXD524293:DXI524293 EGZ524293:EHE524293 EQV524293:ERA524293 FAR524293:FAW524293 FKN524293:FKS524293 FUJ524293:FUO524293 GEF524293:GEK524293 GOB524293:GOG524293 GXX524293:GYC524293 HHT524293:HHY524293 HRP524293:HRU524293 IBL524293:IBQ524293 ILH524293:ILM524293 IVD524293:IVI524293 JEZ524293:JFE524293 JOV524293:JPA524293 JYR524293:JYW524293 KIN524293:KIS524293 KSJ524293:KSO524293 LCF524293:LCK524293 LMB524293:LMG524293 LVX524293:LWC524293 MFT524293:MFY524293 MPP524293:MPU524293 MZL524293:MZQ524293 NJH524293:NJM524293 NTD524293:NTI524293 OCZ524293:ODE524293 OMV524293:ONA524293 OWR524293:OWW524293 PGN524293:PGS524293 PQJ524293:PQO524293 QAF524293:QAK524293 QKB524293:QKG524293 QTX524293:QUC524293 RDT524293:RDY524293 RNP524293:RNU524293 RXL524293:RXQ524293 SHH524293:SHM524293 SRD524293:SRI524293 TAZ524293:TBE524293 TKV524293:TLA524293 TUR524293:TUW524293 UEN524293:UES524293 UOJ524293:UOO524293 UYF524293:UYK524293 VIB524293:VIG524293 VRX524293:VSC524293 WBT524293:WBY524293 WLP524293:WLU524293 WVL524293:WVQ524293 D589829:I589829 IZ589829:JE589829 SV589829:TA589829 ACR589829:ACW589829 AMN589829:AMS589829 AWJ589829:AWO589829 BGF589829:BGK589829 BQB589829:BQG589829 BZX589829:CAC589829 CJT589829:CJY589829 CTP589829:CTU589829 DDL589829:DDQ589829 DNH589829:DNM589829 DXD589829:DXI589829 EGZ589829:EHE589829 EQV589829:ERA589829 FAR589829:FAW589829 FKN589829:FKS589829 FUJ589829:FUO589829 GEF589829:GEK589829 GOB589829:GOG589829 GXX589829:GYC589829 HHT589829:HHY589829 HRP589829:HRU589829 IBL589829:IBQ589829 ILH589829:ILM589829 IVD589829:IVI589829 JEZ589829:JFE589829 JOV589829:JPA589829 JYR589829:JYW589829 KIN589829:KIS589829 KSJ589829:KSO589829 LCF589829:LCK589829 LMB589829:LMG589829 LVX589829:LWC589829 MFT589829:MFY589829 MPP589829:MPU589829 MZL589829:MZQ589829 NJH589829:NJM589829 NTD589829:NTI589829 OCZ589829:ODE589829 OMV589829:ONA589829 OWR589829:OWW589829 PGN589829:PGS589829 PQJ589829:PQO589829 QAF589829:QAK589829 QKB589829:QKG589829 QTX589829:QUC589829 RDT589829:RDY589829 RNP589829:RNU589829 RXL589829:RXQ589829 SHH589829:SHM589829 SRD589829:SRI589829 TAZ589829:TBE589829 TKV589829:TLA589829 TUR589829:TUW589829 UEN589829:UES589829 UOJ589829:UOO589829 UYF589829:UYK589829 VIB589829:VIG589829 VRX589829:VSC589829 WBT589829:WBY589829 WLP589829:WLU589829 WVL589829:WVQ589829 D655365:I655365 IZ655365:JE655365 SV655365:TA655365 ACR655365:ACW655365 AMN655365:AMS655365 AWJ655365:AWO655365 BGF655365:BGK655365 BQB655365:BQG655365 BZX655365:CAC655365 CJT655365:CJY655365 CTP655365:CTU655365 DDL655365:DDQ655365 DNH655365:DNM655365 DXD655365:DXI655365 EGZ655365:EHE655365 EQV655365:ERA655365 FAR655365:FAW655365 FKN655365:FKS655365 FUJ655365:FUO655365 GEF655365:GEK655365 GOB655365:GOG655365 GXX655365:GYC655365 HHT655365:HHY655365 HRP655365:HRU655365 IBL655365:IBQ655365 ILH655365:ILM655365 IVD655365:IVI655365 JEZ655365:JFE655365 JOV655365:JPA655365 JYR655365:JYW655365 KIN655365:KIS655365 KSJ655365:KSO655365 LCF655365:LCK655365 LMB655365:LMG655365 LVX655365:LWC655365 MFT655365:MFY655365 MPP655365:MPU655365 MZL655365:MZQ655365 NJH655365:NJM655365 NTD655365:NTI655365 OCZ655365:ODE655365 OMV655365:ONA655365 OWR655365:OWW655365 PGN655365:PGS655365 PQJ655365:PQO655365 QAF655365:QAK655365 QKB655365:QKG655365 QTX655365:QUC655365 RDT655365:RDY655365 RNP655365:RNU655365 RXL655365:RXQ655365 SHH655365:SHM655365 SRD655365:SRI655365 TAZ655365:TBE655365 TKV655365:TLA655365 TUR655365:TUW655365 UEN655365:UES655365 UOJ655365:UOO655365 UYF655365:UYK655365 VIB655365:VIG655365 VRX655365:VSC655365 WBT655365:WBY655365 WLP655365:WLU655365 WVL655365:WVQ655365 D720901:I720901 IZ720901:JE720901 SV720901:TA720901 ACR720901:ACW720901 AMN720901:AMS720901 AWJ720901:AWO720901 BGF720901:BGK720901 BQB720901:BQG720901 BZX720901:CAC720901 CJT720901:CJY720901 CTP720901:CTU720901 DDL720901:DDQ720901 DNH720901:DNM720901 DXD720901:DXI720901 EGZ720901:EHE720901 EQV720901:ERA720901 FAR720901:FAW720901 FKN720901:FKS720901 FUJ720901:FUO720901 GEF720901:GEK720901 GOB720901:GOG720901 GXX720901:GYC720901 HHT720901:HHY720901 HRP720901:HRU720901 IBL720901:IBQ720901 ILH720901:ILM720901 IVD720901:IVI720901 JEZ720901:JFE720901 JOV720901:JPA720901 JYR720901:JYW720901 KIN720901:KIS720901 KSJ720901:KSO720901 LCF720901:LCK720901 LMB720901:LMG720901 LVX720901:LWC720901 MFT720901:MFY720901 MPP720901:MPU720901 MZL720901:MZQ720901 NJH720901:NJM720901 NTD720901:NTI720901 OCZ720901:ODE720901 OMV720901:ONA720901 OWR720901:OWW720901 PGN720901:PGS720901 PQJ720901:PQO720901 QAF720901:QAK720901 QKB720901:QKG720901 QTX720901:QUC720901 RDT720901:RDY720901 RNP720901:RNU720901 RXL720901:RXQ720901 SHH720901:SHM720901 SRD720901:SRI720901 TAZ720901:TBE720901 TKV720901:TLA720901 TUR720901:TUW720901 UEN720901:UES720901 UOJ720901:UOO720901 UYF720901:UYK720901 VIB720901:VIG720901 VRX720901:VSC720901 WBT720901:WBY720901 WLP720901:WLU720901 WVL720901:WVQ720901 D786437:I786437 IZ786437:JE786437 SV786437:TA786437 ACR786437:ACW786437 AMN786437:AMS786437 AWJ786437:AWO786437 BGF786437:BGK786437 BQB786437:BQG786437 BZX786437:CAC786437 CJT786437:CJY786437 CTP786437:CTU786437 DDL786437:DDQ786437 DNH786437:DNM786437 DXD786437:DXI786437 EGZ786437:EHE786437 EQV786437:ERA786437 FAR786437:FAW786437 FKN786437:FKS786437 FUJ786437:FUO786437 GEF786437:GEK786437 GOB786437:GOG786437 GXX786437:GYC786437 HHT786437:HHY786437 HRP786437:HRU786437 IBL786437:IBQ786437 ILH786437:ILM786437 IVD786437:IVI786437 JEZ786437:JFE786437 JOV786437:JPA786437 JYR786437:JYW786437 KIN786437:KIS786437 KSJ786437:KSO786437 LCF786437:LCK786437 LMB786437:LMG786437 LVX786437:LWC786437 MFT786437:MFY786437 MPP786437:MPU786437 MZL786437:MZQ786437 NJH786437:NJM786437 NTD786437:NTI786437 OCZ786437:ODE786437 OMV786437:ONA786437 OWR786437:OWW786437 PGN786437:PGS786437 PQJ786437:PQO786437 QAF786437:QAK786437 QKB786437:QKG786437 QTX786437:QUC786437 RDT786437:RDY786437 RNP786437:RNU786437 RXL786437:RXQ786437 SHH786437:SHM786437 SRD786437:SRI786437 TAZ786437:TBE786437 TKV786437:TLA786437 TUR786437:TUW786437 UEN786437:UES786437 UOJ786437:UOO786437 UYF786437:UYK786437 VIB786437:VIG786437 VRX786437:VSC786437 WBT786437:WBY786437 WLP786437:WLU786437 WVL786437:WVQ786437 D851973:I851973 IZ851973:JE851973 SV851973:TA851973 ACR851973:ACW851973 AMN851973:AMS851973 AWJ851973:AWO851973 BGF851973:BGK851973 BQB851973:BQG851973 BZX851973:CAC851973 CJT851973:CJY851973 CTP851973:CTU851973 DDL851973:DDQ851973 DNH851973:DNM851973 DXD851973:DXI851973 EGZ851973:EHE851973 EQV851973:ERA851973 FAR851973:FAW851973 FKN851973:FKS851973 FUJ851973:FUO851973 GEF851973:GEK851973 GOB851973:GOG851973 GXX851973:GYC851973 HHT851973:HHY851973 HRP851973:HRU851973 IBL851973:IBQ851973 ILH851973:ILM851973 IVD851973:IVI851973 JEZ851973:JFE851973 JOV851973:JPA851973 JYR851973:JYW851973 KIN851973:KIS851973 KSJ851973:KSO851973 LCF851973:LCK851973 LMB851973:LMG851973 LVX851973:LWC851973 MFT851973:MFY851973 MPP851973:MPU851973 MZL851973:MZQ851973 NJH851973:NJM851973 NTD851973:NTI851973 OCZ851973:ODE851973 OMV851973:ONA851973 OWR851973:OWW851973 PGN851973:PGS851973 PQJ851973:PQO851973 QAF851973:QAK851973 QKB851973:QKG851973 QTX851973:QUC851973 RDT851973:RDY851973 RNP851973:RNU851973 RXL851973:RXQ851973 SHH851973:SHM851973 SRD851973:SRI851973 TAZ851973:TBE851973 TKV851973:TLA851973 TUR851973:TUW851973 UEN851973:UES851973 UOJ851973:UOO851973 UYF851973:UYK851973 VIB851973:VIG851973 VRX851973:VSC851973 WBT851973:WBY851973 WLP851973:WLU851973 WVL851973:WVQ851973 D917509:I917509 IZ917509:JE917509 SV917509:TA917509 ACR917509:ACW917509 AMN917509:AMS917509 AWJ917509:AWO917509 BGF917509:BGK917509 BQB917509:BQG917509 BZX917509:CAC917509 CJT917509:CJY917509 CTP917509:CTU917509 DDL917509:DDQ917509 DNH917509:DNM917509 DXD917509:DXI917509 EGZ917509:EHE917509 EQV917509:ERA917509 FAR917509:FAW917509 FKN917509:FKS917509 FUJ917509:FUO917509 GEF917509:GEK917509 GOB917509:GOG917509 GXX917509:GYC917509 HHT917509:HHY917509 HRP917509:HRU917509 IBL917509:IBQ917509 ILH917509:ILM917509 IVD917509:IVI917509 JEZ917509:JFE917509 JOV917509:JPA917509 JYR917509:JYW917509 KIN917509:KIS917509 KSJ917509:KSO917509 LCF917509:LCK917509 LMB917509:LMG917509 LVX917509:LWC917509 MFT917509:MFY917509 MPP917509:MPU917509 MZL917509:MZQ917509 NJH917509:NJM917509 NTD917509:NTI917509 OCZ917509:ODE917509 OMV917509:ONA917509 OWR917509:OWW917509 PGN917509:PGS917509 PQJ917509:PQO917509 QAF917509:QAK917509 QKB917509:QKG917509 QTX917509:QUC917509 RDT917509:RDY917509 RNP917509:RNU917509 RXL917509:RXQ917509 SHH917509:SHM917509 SRD917509:SRI917509 TAZ917509:TBE917509 TKV917509:TLA917509 TUR917509:TUW917509 UEN917509:UES917509 UOJ917509:UOO917509 UYF917509:UYK917509 VIB917509:VIG917509 VRX917509:VSC917509 WBT917509:WBY917509 WLP917509:WLU917509 WVL917509:WVQ917509 D983045:I983045 IZ983045:JE983045 SV983045:TA983045 ACR983045:ACW983045 AMN983045:AMS983045 AWJ983045:AWO983045 BGF983045:BGK983045 BQB983045:BQG983045 BZX983045:CAC983045 CJT983045:CJY983045 CTP983045:CTU983045 DDL983045:DDQ983045 DNH983045:DNM983045 DXD983045:DXI983045 EGZ983045:EHE983045 EQV983045:ERA983045 FAR983045:FAW983045 FKN983045:FKS983045 FUJ983045:FUO983045 GEF983045:GEK983045 GOB983045:GOG983045 GXX983045:GYC983045 HHT983045:HHY983045 HRP983045:HRU983045 IBL983045:IBQ983045 ILH983045:ILM983045 IVD983045:IVI983045 JEZ983045:JFE983045 JOV983045:JPA983045 JYR983045:JYW983045 KIN983045:KIS983045 KSJ983045:KSO983045 LCF983045:LCK983045 LMB983045:LMG983045 LVX983045:LWC983045 MFT983045:MFY983045 MPP983045:MPU983045 MZL983045:MZQ983045 NJH983045:NJM983045 NTD983045:NTI983045 OCZ983045:ODE983045 OMV983045:ONA983045 OWR983045:OWW983045 PGN983045:PGS983045 PQJ983045:PQO983045 QAF983045:QAK983045 QKB983045:QKG983045 QTX983045:QUC983045 RDT983045:RDY983045 RNP983045:RNU983045 RXL983045:RXQ983045 SHH983045:SHM983045 SRD983045:SRI983045 TAZ983045:TBE983045 TKV983045:TLA983045 TUR983045:TUW983045 UEN983045:UES983045 UOJ983045:UOO983045 UYF983045:UYK983045 VIB983045:VIG983045 VRX983045:VSC983045 WBT983045:WBY983045 WLP983045:WLU983045 WVL983045:WVQ983045" xr:uid="{DBC46897-A16D-45AD-AF72-8BAB560C3ED1}">
      <formula1>"人材派遣,有料職業紹介,特定技能,請負"</formula1>
    </dataValidation>
    <dataValidation type="list" allowBlank="1" showInputMessage="1" showErrorMessage="1" sqref="D5:I5 IZ5:JE5 SV5:TA5 ACR5:ACW5 AMN5:AMS5 AWJ5:AWO5 BGF5:BGK5 BQB5:BQG5 BZX5:CAC5 CJT5:CJY5 CTP5:CTU5 DDL5:DDQ5 DNH5:DNM5 DXD5:DXI5 EGZ5:EHE5 EQV5:ERA5 FAR5:FAW5 FKN5:FKS5 FUJ5:FUO5 GEF5:GEK5 GOB5:GOG5 GXX5:GYC5 HHT5:HHY5 HRP5:HRU5 IBL5:IBQ5 ILH5:ILM5 IVD5:IVI5 JEZ5:JFE5 JOV5:JPA5 JYR5:JYW5 KIN5:KIS5 KSJ5:KSO5 LCF5:LCK5 LMB5:LMG5 LVX5:LWC5 MFT5:MFY5 MPP5:MPU5 MZL5:MZQ5 NJH5:NJM5 NTD5:NTI5 OCZ5:ODE5 OMV5:ONA5 OWR5:OWW5 PGN5:PGS5 PQJ5:PQO5 QAF5:QAK5 QKB5:QKG5 QTX5:QUC5 RDT5:RDY5 RNP5:RNU5 RXL5:RXQ5 SHH5:SHM5 SRD5:SRI5 TAZ5:TBE5 TKV5:TLA5 TUR5:TUW5 UEN5:UES5 UOJ5:UOO5 UYF5:UYK5 VIB5:VIG5 VRX5:VSC5 WBT5:WBY5 WLP5:WLU5 WVL5:WVQ5 D65540:I65540 IZ65540:JE65540 SV65540:TA65540 ACR65540:ACW65540 AMN65540:AMS65540 AWJ65540:AWO65540 BGF65540:BGK65540 BQB65540:BQG65540 BZX65540:CAC65540 CJT65540:CJY65540 CTP65540:CTU65540 DDL65540:DDQ65540 DNH65540:DNM65540 DXD65540:DXI65540 EGZ65540:EHE65540 EQV65540:ERA65540 FAR65540:FAW65540 FKN65540:FKS65540 FUJ65540:FUO65540 GEF65540:GEK65540 GOB65540:GOG65540 GXX65540:GYC65540 HHT65540:HHY65540 HRP65540:HRU65540 IBL65540:IBQ65540 ILH65540:ILM65540 IVD65540:IVI65540 JEZ65540:JFE65540 JOV65540:JPA65540 JYR65540:JYW65540 KIN65540:KIS65540 KSJ65540:KSO65540 LCF65540:LCK65540 LMB65540:LMG65540 LVX65540:LWC65540 MFT65540:MFY65540 MPP65540:MPU65540 MZL65540:MZQ65540 NJH65540:NJM65540 NTD65540:NTI65540 OCZ65540:ODE65540 OMV65540:ONA65540 OWR65540:OWW65540 PGN65540:PGS65540 PQJ65540:PQO65540 QAF65540:QAK65540 QKB65540:QKG65540 QTX65540:QUC65540 RDT65540:RDY65540 RNP65540:RNU65540 RXL65540:RXQ65540 SHH65540:SHM65540 SRD65540:SRI65540 TAZ65540:TBE65540 TKV65540:TLA65540 TUR65540:TUW65540 UEN65540:UES65540 UOJ65540:UOO65540 UYF65540:UYK65540 VIB65540:VIG65540 VRX65540:VSC65540 WBT65540:WBY65540 WLP65540:WLU65540 WVL65540:WVQ65540 D131076:I131076 IZ131076:JE131076 SV131076:TA131076 ACR131076:ACW131076 AMN131076:AMS131076 AWJ131076:AWO131076 BGF131076:BGK131076 BQB131076:BQG131076 BZX131076:CAC131076 CJT131076:CJY131076 CTP131076:CTU131076 DDL131076:DDQ131076 DNH131076:DNM131076 DXD131076:DXI131076 EGZ131076:EHE131076 EQV131076:ERA131076 FAR131076:FAW131076 FKN131076:FKS131076 FUJ131076:FUO131076 GEF131076:GEK131076 GOB131076:GOG131076 GXX131076:GYC131076 HHT131076:HHY131076 HRP131076:HRU131076 IBL131076:IBQ131076 ILH131076:ILM131076 IVD131076:IVI131076 JEZ131076:JFE131076 JOV131076:JPA131076 JYR131076:JYW131076 KIN131076:KIS131076 KSJ131076:KSO131076 LCF131076:LCK131076 LMB131076:LMG131076 LVX131076:LWC131076 MFT131076:MFY131076 MPP131076:MPU131076 MZL131076:MZQ131076 NJH131076:NJM131076 NTD131076:NTI131076 OCZ131076:ODE131076 OMV131076:ONA131076 OWR131076:OWW131076 PGN131076:PGS131076 PQJ131076:PQO131076 QAF131076:QAK131076 QKB131076:QKG131076 QTX131076:QUC131076 RDT131076:RDY131076 RNP131076:RNU131076 RXL131076:RXQ131076 SHH131076:SHM131076 SRD131076:SRI131076 TAZ131076:TBE131076 TKV131076:TLA131076 TUR131076:TUW131076 UEN131076:UES131076 UOJ131076:UOO131076 UYF131076:UYK131076 VIB131076:VIG131076 VRX131076:VSC131076 WBT131076:WBY131076 WLP131076:WLU131076 WVL131076:WVQ131076 D196612:I196612 IZ196612:JE196612 SV196612:TA196612 ACR196612:ACW196612 AMN196612:AMS196612 AWJ196612:AWO196612 BGF196612:BGK196612 BQB196612:BQG196612 BZX196612:CAC196612 CJT196612:CJY196612 CTP196612:CTU196612 DDL196612:DDQ196612 DNH196612:DNM196612 DXD196612:DXI196612 EGZ196612:EHE196612 EQV196612:ERA196612 FAR196612:FAW196612 FKN196612:FKS196612 FUJ196612:FUO196612 GEF196612:GEK196612 GOB196612:GOG196612 GXX196612:GYC196612 HHT196612:HHY196612 HRP196612:HRU196612 IBL196612:IBQ196612 ILH196612:ILM196612 IVD196612:IVI196612 JEZ196612:JFE196612 JOV196612:JPA196612 JYR196612:JYW196612 KIN196612:KIS196612 KSJ196612:KSO196612 LCF196612:LCK196612 LMB196612:LMG196612 LVX196612:LWC196612 MFT196612:MFY196612 MPP196612:MPU196612 MZL196612:MZQ196612 NJH196612:NJM196612 NTD196612:NTI196612 OCZ196612:ODE196612 OMV196612:ONA196612 OWR196612:OWW196612 PGN196612:PGS196612 PQJ196612:PQO196612 QAF196612:QAK196612 QKB196612:QKG196612 QTX196612:QUC196612 RDT196612:RDY196612 RNP196612:RNU196612 RXL196612:RXQ196612 SHH196612:SHM196612 SRD196612:SRI196612 TAZ196612:TBE196612 TKV196612:TLA196612 TUR196612:TUW196612 UEN196612:UES196612 UOJ196612:UOO196612 UYF196612:UYK196612 VIB196612:VIG196612 VRX196612:VSC196612 WBT196612:WBY196612 WLP196612:WLU196612 WVL196612:WVQ196612 D262148:I262148 IZ262148:JE262148 SV262148:TA262148 ACR262148:ACW262148 AMN262148:AMS262148 AWJ262148:AWO262148 BGF262148:BGK262148 BQB262148:BQG262148 BZX262148:CAC262148 CJT262148:CJY262148 CTP262148:CTU262148 DDL262148:DDQ262148 DNH262148:DNM262148 DXD262148:DXI262148 EGZ262148:EHE262148 EQV262148:ERA262148 FAR262148:FAW262148 FKN262148:FKS262148 FUJ262148:FUO262148 GEF262148:GEK262148 GOB262148:GOG262148 GXX262148:GYC262148 HHT262148:HHY262148 HRP262148:HRU262148 IBL262148:IBQ262148 ILH262148:ILM262148 IVD262148:IVI262148 JEZ262148:JFE262148 JOV262148:JPA262148 JYR262148:JYW262148 KIN262148:KIS262148 KSJ262148:KSO262148 LCF262148:LCK262148 LMB262148:LMG262148 LVX262148:LWC262148 MFT262148:MFY262148 MPP262148:MPU262148 MZL262148:MZQ262148 NJH262148:NJM262148 NTD262148:NTI262148 OCZ262148:ODE262148 OMV262148:ONA262148 OWR262148:OWW262148 PGN262148:PGS262148 PQJ262148:PQO262148 QAF262148:QAK262148 QKB262148:QKG262148 QTX262148:QUC262148 RDT262148:RDY262148 RNP262148:RNU262148 RXL262148:RXQ262148 SHH262148:SHM262148 SRD262148:SRI262148 TAZ262148:TBE262148 TKV262148:TLA262148 TUR262148:TUW262148 UEN262148:UES262148 UOJ262148:UOO262148 UYF262148:UYK262148 VIB262148:VIG262148 VRX262148:VSC262148 WBT262148:WBY262148 WLP262148:WLU262148 WVL262148:WVQ262148 D327684:I327684 IZ327684:JE327684 SV327684:TA327684 ACR327684:ACW327684 AMN327684:AMS327684 AWJ327684:AWO327684 BGF327684:BGK327684 BQB327684:BQG327684 BZX327684:CAC327684 CJT327684:CJY327684 CTP327684:CTU327684 DDL327684:DDQ327684 DNH327684:DNM327684 DXD327684:DXI327684 EGZ327684:EHE327684 EQV327684:ERA327684 FAR327684:FAW327684 FKN327684:FKS327684 FUJ327684:FUO327684 GEF327684:GEK327684 GOB327684:GOG327684 GXX327684:GYC327684 HHT327684:HHY327684 HRP327684:HRU327684 IBL327684:IBQ327684 ILH327684:ILM327684 IVD327684:IVI327684 JEZ327684:JFE327684 JOV327684:JPA327684 JYR327684:JYW327684 KIN327684:KIS327684 KSJ327684:KSO327684 LCF327684:LCK327684 LMB327684:LMG327684 LVX327684:LWC327684 MFT327684:MFY327684 MPP327684:MPU327684 MZL327684:MZQ327684 NJH327684:NJM327684 NTD327684:NTI327684 OCZ327684:ODE327684 OMV327684:ONA327684 OWR327684:OWW327684 PGN327684:PGS327684 PQJ327684:PQO327684 QAF327684:QAK327684 QKB327684:QKG327684 QTX327684:QUC327684 RDT327684:RDY327684 RNP327684:RNU327684 RXL327684:RXQ327684 SHH327684:SHM327684 SRD327684:SRI327684 TAZ327684:TBE327684 TKV327684:TLA327684 TUR327684:TUW327684 UEN327684:UES327684 UOJ327684:UOO327684 UYF327684:UYK327684 VIB327684:VIG327684 VRX327684:VSC327684 WBT327684:WBY327684 WLP327684:WLU327684 WVL327684:WVQ327684 D393220:I393220 IZ393220:JE393220 SV393220:TA393220 ACR393220:ACW393220 AMN393220:AMS393220 AWJ393220:AWO393220 BGF393220:BGK393220 BQB393220:BQG393220 BZX393220:CAC393220 CJT393220:CJY393220 CTP393220:CTU393220 DDL393220:DDQ393220 DNH393220:DNM393220 DXD393220:DXI393220 EGZ393220:EHE393220 EQV393220:ERA393220 FAR393220:FAW393220 FKN393220:FKS393220 FUJ393220:FUO393220 GEF393220:GEK393220 GOB393220:GOG393220 GXX393220:GYC393220 HHT393220:HHY393220 HRP393220:HRU393220 IBL393220:IBQ393220 ILH393220:ILM393220 IVD393220:IVI393220 JEZ393220:JFE393220 JOV393220:JPA393220 JYR393220:JYW393220 KIN393220:KIS393220 KSJ393220:KSO393220 LCF393220:LCK393220 LMB393220:LMG393220 LVX393220:LWC393220 MFT393220:MFY393220 MPP393220:MPU393220 MZL393220:MZQ393220 NJH393220:NJM393220 NTD393220:NTI393220 OCZ393220:ODE393220 OMV393220:ONA393220 OWR393220:OWW393220 PGN393220:PGS393220 PQJ393220:PQO393220 QAF393220:QAK393220 QKB393220:QKG393220 QTX393220:QUC393220 RDT393220:RDY393220 RNP393220:RNU393220 RXL393220:RXQ393220 SHH393220:SHM393220 SRD393220:SRI393220 TAZ393220:TBE393220 TKV393220:TLA393220 TUR393220:TUW393220 UEN393220:UES393220 UOJ393220:UOO393220 UYF393220:UYK393220 VIB393220:VIG393220 VRX393220:VSC393220 WBT393220:WBY393220 WLP393220:WLU393220 WVL393220:WVQ393220 D458756:I458756 IZ458756:JE458756 SV458756:TA458756 ACR458756:ACW458756 AMN458756:AMS458756 AWJ458756:AWO458756 BGF458756:BGK458756 BQB458756:BQG458756 BZX458756:CAC458756 CJT458756:CJY458756 CTP458756:CTU458756 DDL458756:DDQ458756 DNH458756:DNM458756 DXD458756:DXI458756 EGZ458756:EHE458756 EQV458756:ERA458756 FAR458756:FAW458756 FKN458756:FKS458756 FUJ458756:FUO458756 GEF458756:GEK458756 GOB458756:GOG458756 GXX458756:GYC458756 HHT458756:HHY458756 HRP458756:HRU458756 IBL458756:IBQ458756 ILH458756:ILM458756 IVD458756:IVI458756 JEZ458756:JFE458756 JOV458756:JPA458756 JYR458756:JYW458756 KIN458756:KIS458756 KSJ458756:KSO458756 LCF458756:LCK458756 LMB458756:LMG458756 LVX458756:LWC458756 MFT458756:MFY458756 MPP458756:MPU458756 MZL458756:MZQ458756 NJH458756:NJM458756 NTD458756:NTI458756 OCZ458756:ODE458756 OMV458756:ONA458756 OWR458756:OWW458756 PGN458756:PGS458756 PQJ458756:PQO458756 QAF458756:QAK458756 QKB458756:QKG458756 QTX458756:QUC458756 RDT458756:RDY458756 RNP458756:RNU458756 RXL458756:RXQ458756 SHH458756:SHM458756 SRD458756:SRI458756 TAZ458756:TBE458756 TKV458756:TLA458756 TUR458756:TUW458756 UEN458756:UES458756 UOJ458756:UOO458756 UYF458756:UYK458756 VIB458756:VIG458756 VRX458756:VSC458756 WBT458756:WBY458756 WLP458756:WLU458756 WVL458756:WVQ458756 D524292:I524292 IZ524292:JE524292 SV524292:TA524292 ACR524292:ACW524292 AMN524292:AMS524292 AWJ524292:AWO524292 BGF524292:BGK524292 BQB524292:BQG524292 BZX524292:CAC524292 CJT524292:CJY524292 CTP524292:CTU524292 DDL524292:DDQ524292 DNH524292:DNM524292 DXD524292:DXI524292 EGZ524292:EHE524292 EQV524292:ERA524292 FAR524292:FAW524292 FKN524292:FKS524292 FUJ524292:FUO524292 GEF524292:GEK524292 GOB524292:GOG524292 GXX524292:GYC524292 HHT524292:HHY524292 HRP524292:HRU524292 IBL524292:IBQ524292 ILH524292:ILM524292 IVD524292:IVI524292 JEZ524292:JFE524292 JOV524292:JPA524292 JYR524292:JYW524292 KIN524292:KIS524292 KSJ524292:KSO524292 LCF524292:LCK524292 LMB524292:LMG524292 LVX524292:LWC524292 MFT524292:MFY524292 MPP524292:MPU524292 MZL524292:MZQ524292 NJH524292:NJM524292 NTD524292:NTI524292 OCZ524292:ODE524292 OMV524292:ONA524292 OWR524292:OWW524292 PGN524292:PGS524292 PQJ524292:PQO524292 QAF524292:QAK524292 QKB524292:QKG524292 QTX524292:QUC524292 RDT524292:RDY524292 RNP524292:RNU524292 RXL524292:RXQ524292 SHH524292:SHM524292 SRD524292:SRI524292 TAZ524292:TBE524292 TKV524292:TLA524292 TUR524292:TUW524292 UEN524292:UES524292 UOJ524292:UOO524292 UYF524292:UYK524292 VIB524292:VIG524292 VRX524292:VSC524292 WBT524292:WBY524292 WLP524292:WLU524292 WVL524292:WVQ524292 D589828:I589828 IZ589828:JE589828 SV589828:TA589828 ACR589828:ACW589828 AMN589828:AMS589828 AWJ589828:AWO589828 BGF589828:BGK589828 BQB589828:BQG589828 BZX589828:CAC589828 CJT589828:CJY589828 CTP589828:CTU589828 DDL589828:DDQ589828 DNH589828:DNM589828 DXD589828:DXI589828 EGZ589828:EHE589828 EQV589828:ERA589828 FAR589828:FAW589828 FKN589828:FKS589828 FUJ589828:FUO589828 GEF589828:GEK589828 GOB589828:GOG589828 GXX589828:GYC589828 HHT589828:HHY589828 HRP589828:HRU589828 IBL589828:IBQ589828 ILH589828:ILM589828 IVD589828:IVI589828 JEZ589828:JFE589828 JOV589828:JPA589828 JYR589828:JYW589828 KIN589828:KIS589828 KSJ589828:KSO589828 LCF589828:LCK589828 LMB589828:LMG589828 LVX589828:LWC589828 MFT589828:MFY589828 MPP589828:MPU589828 MZL589828:MZQ589828 NJH589828:NJM589828 NTD589828:NTI589828 OCZ589828:ODE589828 OMV589828:ONA589828 OWR589828:OWW589828 PGN589828:PGS589828 PQJ589828:PQO589828 QAF589828:QAK589828 QKB589828:QKG589828 QTX589828:QUC589828 RDT589828:RDY589828 RNP589828:RNU589828 RXL589828:RXQ589828 SHH589828:SHM589828 SRD589828:SRI589828 TAZ589828:TBE589828 TKV589828:TLA589828 TUR589828:TUW589828 UEN589828:UES589828 UOJ589828:UOO589828 UYF589828:UYK589828 VIB589828:VIG589828 VRX589828:VSC589828 WBT589828:WBY589828 WLP589828:WLU589828 WVL589828:WVQ589828 D655364:I655364 IZ655364:JE655364 SV655364:TA655364 ACR655364:ACW655364 AMN655364:AMS655364 AWJ655364:AWO655364 BGF655364:BGK655364 BQB655364:BQG655364 BZX655364:CAC655364 CJT655364:CJY655364 CTP655364:CTU655364 DDL655364:DDQ655364 DNH655364:DNM655364 DXD655364:DXI655364 EGZ655364:EHE655364 EQV655364:ERA655364 FAR655364:FAW655364 FKN655364:FKS655364 FUJ655364:FUO655364 GEF655364:GEK655364 GOB655364:GOG655364 GXX655364:GYC655364 HHT655364:HHY655364 HRP655364:HRU655364 IBL655364:IBQ655364 ILH655364:ILM655364 IVD655364:IVI655364 JEZ655364:JFE655364 JOV655364:JPA655364 JYR655364:JYW655364 KIN655364:KIS655364 KSJ655364:KSO655364 LCF655364:LCK655364 LMB655364:LMG655364 LVX655364:LWC655364 MFT655364:MFY655364 MPP655364:MPU655364 MZL655364:MZQ655364 NJH655364:NJM655364 NTD655364:NTI655364 OCZ655364:ODE655364 OMV655364:ONA655364 OWR655364:OWW655364 PGN655364:PGS655364 PQJ655364:PQO655364 QAF655364:QAK655364 QKB655364:QKG655364 QTX655364:QUC655364 RDT655364:RDY655364 RNP655364:RNU655364 RXL655364:RXQ655364 SHH655364:SHM655364 SRD655364:SRI655364 TAZ655364:TBE655364 TKV655364:TLA655364 TUR655364:TUW655364 UEN655364:UES655364 UOJ655364:UOO655364 UYF655364:UYK655364 VIB655364:VIG655364 VRX655364:VSC655364 WBT655364:WBY655364 WLP655364:WLU655364 WVL655364:WVQ655364 D720900:I720900 IZ720900:JE720900 SV720900:TA720900 ACR720900:ACW720900 AMN720900:AMS720900 AWJ720900:AWO720900 BGF720900:BGK720900 BQB720900:BQG720900 BZX720900:CAC720900 CJT720900:CJY720900 CTP720900:CTU720900 DDL720900:DDQ720900 DNH720900:DNM720900 DXD720900:DXI720900 EGZ720900:EHE720900 EQV720900:ERA720900 FAR720900:FAW720900 FKN720900:FKS720900 FUJ720900:FUO720900 GEF720900:GEK720900 GOB720900:GOG720900 GXX720900:GYC720900 HHT720900:HHY720900 HRP720900:HRU720900 IBL720900:IBQ720900 ILH720900:ILM720900 IVD720900:IVI720900 JEZ720900:JFE720900 JOV720900:JPA720900 JYR720900:JYW720900 KIN720900:KIS720900 KSJ720900:KSO720900 LCF720900:LCK720900 LMB720900:LMG720900 LVX720900:LWC720900 MFT720900:MFY720900 MPP720900:MPU720900 MZL720900:MZQ720900 NJH720900:NJM720900 NTD720900:NTI720900 OCZ720900:ODE720900 OMV720900:ONA720900 OWR720900:OWW720900 PGN720900:PGS720900 PQJ720900:PQO720900 QAF720900:QAK720900 QKB720900:QKG720900 QTX720900:QUC720900 RDT720900:RDY720900 RNP720900:RNU720900 RXL720900:RXQ720900 SHH720900:SHM720900 SRD720900:SRI720900 TAZ720900:TBE720900 TKV720900:TLA720900 TUR720900:TUW720900 UEN720900:UES720900 UOJ720900:UOO720900 UYF720900:UYK720900 VIB720900:VIG720900 VRX720900:VSC720900 WBT720900:WBY720900 WLP720900:WLU720900 WVL720900:WVQ720900 D786436:I786436 IZ786436:JE786436 SV786436:TA786436 ACR786436:ACW786436 AMN786436:AMS786436 AWJ786436:AWO786436 BGF786436:BGK786436 BQB786436:BQG786436 BZX786436:CAC786436 CJT786436:CJY786436 CTP786436:CTU786436 DDL786436:DDQ786436 DNH786436:DNM786436 DXD786436:DXI786436 EGZ786436:EHE786436 EQV786436:ERA786436 FAR786436:FAW786436 FKN786436:FKS786436 FUJ786436:FUO786436 GEF786436:GEK786436 GOB786436:GOG786436 GXX786436:GYC786436 HHT786436:HHY786436 HRP786436:HRU786436 IBL786436:IBQ786436 ILH786436:ILM786436 IVD786436:IVI786436 JEZ786436:JFE786436 JOV786436:JPA786436 JYR786436:JYW786436 KIN786436:KIS786436 KSJ786436:KSO786436 LCF786436:LCK786436 LMB786436:LMG786436 LVX786436:LWC786436 MFT786436:MFY786436 MPP786436:MPU786436 MZL786436:MZQ786436 NJH786436:NJM786436 NTD786436:NTI786436 OCZ786436:ODE786436 OMV786436:ONA786436 OWR786436:OWW786436 PGN786436:PGS786436 PQJ786436:PQO786436 QAF786436:QAK786436 QKB786436:QKG786436 QTX786436:QUC786436 RDT786436:RDY786436 RNP786436:RNU786436 RXL786436:RXQ786436 SHH786436:SHM786436 SRD786436:SRI786436 TAZ786436:TBE786436 TKV786436:TLA786436 TUR786436:TUW786436 UEN786436:UES786436 UOJ786436:UOO786436 UYF786436:UYK786436 VIB786436:VIG786436 VRX786436:VSC786436 WBT786436:WBY786436 WLP786436:WLU786436 WVL786436:WVQ786436 D851972:I851972 IZ851972:JE851972 SV851972:TA851972 ACR851972:ACW851972 AMN851972:AMS851972 AWJ851972:AWO851972 BGF851972:BGK851972 BQB851972:BQG851972 BZX851972:CAC851972 CJT851972:CJY851972 CTP851972:CTU851972 DDL851972:DDQ851972 DNH851972:DNM851972 DXD851972:DXI851972 EGZ851972:EHE851972 EQV851972:ERA851972 FAR851972:FAW851972 FKN851972:FKS851972 FUJ851972:FUO851972 GEF851972:GEK851972 GOB851972:GOG851972 GXX851972:GYC851972 HHT851972:HHY851972 HRP851972:HRU851972 IBL851972:IBQ851972 ILH851972:ILM851972 IVD851972:IVI851972 JEZ851972:JFE851972 JOV851972:JPA851972 JYR851972:JYW851972 KIN851972:KIS851972 KSJ851972:KSO851972 LCF851972:LCK851972 LMB851972:LMG851972 LVX851972:LWC851972 MFT851972:MFY851972 MPP851972:MPU851972 MZL851972:MZQ851972 NJH851972:NJM851972 NTD851972:NTI851972 OCZ851972:ODE851972 OMV851972:ONA851972 OWR851972:OWW851972 PGN851972:PGS851972 PQJ851972:PQO851972 QAF851972:QAK851972 QKB851972:QKG851972 QTX851972:QUC851972 RDT851972:RDY851972 RNP851972:RNU851972 RXL851972:RXQ851972 SHH851972:SHM851972 SRD851972:SRI851972 TAZ851972:TBE851972 TKV851972:TLA851972 TUR851972:TUW851972 UEN851972:UES851972 UOJ851972:UOO851972 UYF851972:UYK851972 VIB851972:VIG851972 VRX851972:VSC851972 WBT851972:WBY851972 WLP851972:WLU851972 WVL851972:WVQ851972 D917508:I917508 IZ917508:JE917508 SV917508:TA917508 ACR917508:ACW917508 AMN917508:AMS917508 AWJ917508:AWO917508 BGF917508:BGK917508 BQB917508:BQG917508 BZX917508:CAC917508 CJT917508:CJY917508 CTP917508:CTU917508 DDL917508:DDQ917508 DNH917508:DNM917508 DXD917508:DXI917508 EGZ917508:EHE917508 EQV917508:ERA917508 FAR917508:FAW917508 FKN917508:FKS917508 FUJ917508:FUO917508 GEF917508:GEK917508 GOB917508:GOG917508 GXX917508:GYC917508 HHT917508:HHY917508 HRP917508:HRU917508 IBL917508:IBQ917508 ILH917508:ILM917508 IVD917508:IVI917508 JEZ917508:JFE917508 JOV917508:JPA917508 JYR917508:JYW917508 KIN917508:KIS917508 KSJ917508:KSO917508 LCF917508:LCK917508 LMB917508:LMG917508 LVX917508:LWC917508 MFT917508:MFY917508 MPP917508:MPU917508 MZL917508:MZQ917508 NJH917508:NJM917508 NTD917508:NTI917508 OCZ917508:ODE917508 OMV917508:ONA917508 OWR917508:OWW917508 PGN917508:PGS917508 PQJ917508:PQO917508 QAF917508:QAK917508 QKB917508:QKG917508 QTX917508:QUC917508 RDT917508:RDY917508 RNP917508:RNU917508 RXL917508:RXQ917508 SHH917508:SHM917508 SRD917508:SRI917508 TAZ917508:TBE917508 TKV917508:TLA917508 TUR917508:TUW917508 UEN917508:UES917508 UOJ917508:UOO917508 UYF917508:UYK917508 VIB917508:VIG917508 VRX917508:VSC917508 WBT917508:WBY917508 WLP917508:WLU917508 WVL917508:WVQ917508 D983044:I983044 IZ983044:JE983044 SV983044:TA983044 ACR983044:ACW983044 AMN983044:AMS983044 AWJ983044:AWO983044 BGF983044:BGK983044 BQB983044:BQG983044 BZX983044:CAC983044 CJT983044:CJY983044 CTP983044:CTU983044 DDL983044:DDQ983044 DNH983044:DNM983044 DXD983044:DXI983044 EGZ983044:EHE983044 EQV983044:ERA983044 FAR983044:FAW983044 FKN983044:FKS983044 FUJ983044:FUO983044 GEF983044:GEK983044 GOB983044:GOG983044 GXX983044:GYC983044 HHT983044:HHY983044 HRP983044:HRU983044 IBL983044:IBQ983044 ILH983044:ILM983044 IVD983044:IVI983044 JEZ983044:JFE983044 JOV983044:JPA983044 JYR983044:JYW983044 KIN983044:KIS983044 KSJ983044:KSO983044 LCF983044:LCK983044 LMB983044:LMG983044 LVX983044:LWC983044 MFT983044:MFY983044 MPP983044:MPU983044 MZL983044:MZQ983044 NJH983044:NJM983044 NTD983044:NTI983044 OCZ983044:ODE983044 OMV983044:ONA983044 OWR983044:OWW983044 PGN983044:PGS983044 PQJ983044:PQO983044 QAF983044:QAK983044 QKB983044:QKG983044 QTX983044:QUC983044 RDT983044:RDY983044 RNP983044:RNU983044 RXL983044:RXQ983044 SHH983044:SHM983044 SRD983044:SRI983044 TAZ983044:TBE983044 TKV983044:TLA983044 TUR983044:TUW983044 UEN983044:UES983044 UOJ983044:UOO983044 UYF983044:UYK983044 VIB983044:VIG983044 VRX983044:VSC983044 WBT983044:WBY983044 WLP983044:WLU983044 WVL983044:WVQ983044" xr:uid="{B8A43080-4C53-43EF-85D1-CC0E96EA794F}">
      <formula1>"飛行機,新幹線,自動車"</formula1>
    </dataValidation>
    <dataValidation type="list" allowBlank="1" showInputMessage="1" showErrorMessage="1" sqref="WVL983043:WVQ983043 IZ4:JE4 SV4:TA4 ACR4:ACW4 AMN4:AMS4 AWJ4:AWO4 BGF4:BGK4 BQB4:BQG4 BZX4:CAC4 CJT4:CJY4 CTP4:CTU4 DDL4:DDQ4 DNH4:DNM4 DXD4:DXI4 EGZ4:EHE4 EQV4:ERA4 FAR4:FAW4 FKN4:FKS4 FUJ4:FUO4 GEF4:GEK4 GOB4:GOG4 GXX4:GYC4 HHT4:HHY4 HRP4:HRU4 IBL4:IBQ4 ILH4:ILM4 IVD4:IVI4 JEZ4:JFE4 JOV4:JPA4 JYR4:JYW4 KIN4:KIS4 KSJ4:KSO4 LCF4:LCK4 LMB4:LMG4 LVX4:LWC4 MFT4:MFY4 MPP4:MPU4 MZL4:MZQ4 NJH4:NJM4 NTD4:NTI4 OCZ4:ODE4 OMV4:ONA4 OWR4:OWW4 PGN4:PGS4 PQJ4:PQO4 QAF4:QAK4 QKB4:QKG4 QTX4:QUC4 RDT4:RDY4 RNP4:RNU4 RXL4:RXQ4 SHH4:SHM4 SRD4:SRI4 TAZ4:TBE4 TKV4:TLA4 TUR4:TUW4 UEN4:UES4 UOJ4:UOO4 UYF4:UYK4 VIB4:VIG4 VRX4:VSC4 WBT4:WBY4 WLP4:WLU4 WVL4:WVQ4 D65539:I65539 IZ65539:JE65539 SV65539:TA65539 ACR65539:ACW65539 AMN65539:AMS65539 AWJ65539:AWO65539 BGF65539:BGK65539 BQB65539:BQG65539 BZX65539:CAC65539 CJT65539:CJY65539 CTP65539:CTU65539 DDL65539:DDQ65539 DNH65539:DNM65539 DXD65539:DXI65539 EGZ65539:EHE65539 EQV65539:ERA65539 FAR65539:FAW65539 FKN65539:FKS65539 FUJ65539:FUO65539 GEF65539:GEK65539 GOB65539:GOG65539 GXX65539:GYC65539 HHT65539:HHY65539 HRP65539:HRU65539 IBL65539:IBQ65539 ILH65539:ILM65539 IVD65539:IVI65539 JEZ65539:JFE65539 JOV65539:JPA65539 JYR65539:JYW65539 KIN65539:KIS65539 KSJ65539:KSO65539 LCF65539:LCK65539 LMB65539:LMG65539 LVX65539:LWC65539 MFT65539:MFY65539 MPP65539:MPU65539 MZL65539:MZQ65539 NJH65539:NJM65539 NTD65539:NTI65539 OCZ65539:ODE65539 OMV65539:ONA65539 OWR65539:OWW65539 PGN65539:PGS65539 PQJ65539:PQO65539 QAF65539:QAK65539 QKB65539:QKG65539 QTX65539:QUC65539 RDT65539:RDY65539 RNP65539:RNU65539 RXL65539:RXQ65539 SHH65539:SHM65539 SRD65539:SRI65539 TAZ65539:TBE65539 TKV65539:TLA65539 TUR65539:TUW65539 UEN65539:UES65539 UOJ65539:UOO65539 UYF65539:UYK65539 VIB65539:VIG65539 VRX65539:VSC65539 WBT65539:WBY65539 WLP65539:WLU65539 WVL65539:WVQ65539 D131075:I131075 IZ131075:JE131075 SV131075:TA131075 ACR131075:ACW131075 AMN131075:AMS131075 AWJ131075:AWO131075 BGF131075:BGK131075 BQB131075:BQG131075 BZX131075:CAC131075 CJT131075:CJY131075 CTP131075:CTU131075 DDL131075:DDQ131075 DNH131075:DNM131075 DXD131075:DXI131075 EGZ131075:EHE131075 EQV131075:ERA131075 FAR131075:FAW131075 FKN131075:FKS131075 FUJ131075:FUO131075 GEF131075:GEK131075 GOB131075:GOG131075 GXX131075:GYC131075 HHT131075:HHY131075 HRP131075:HRU131075 IBL131075:IBQ131075 ILH131075:ILM131075 IVD131075:IVI131075 JEZ131075:JFE131075 JOV131075:JPA131075 JYR131075:JYW131075 KIN131075:KIS131075 KSJ131075:KSO131075 LCF131075:LCK131075 LMB131075:LMG131075 LVX131075:LWC131075 MFT131075:MFY131075 MPP131075:MPU131075 MZL131075:MZQ131075 NJH131075:NJM131075 NTD131075:NTI131075 OCZ131075:ODE131075 OMV131075:ONA131075 OWR131075:OWW131075 PGN131075:PGS131075 PQJ131075:PQO131075 QAF131075:QAK131075 QKB131075:QKG131075 QTX131075:QUC131075 RDT131075:RDY131075 RNP131075:RNU131075 RXL131075:RXQ131075 SHH131075:SHM131075 SRD131075:SRI131075 TAZ131075:TBE131075 TKV131075:TLA131075 TUR131075:TUW131075 UEN131075:UES131075 UOJ131075:UOO131075 UYF131075:UYK131075 VIB131075:VIG131075 VRX131075:VSC131075 WBT131075:WBY131075 WLP131075:WLU131075 WVL131075:WVQ131075 D196611:I196611 IZ196611:JE196611 SV196611:TA196611 ACR196611:ACW196611 AMN196611:AMS196611 AWJ196611:AWO196611 BGF196611:BGK196611 BQB196611:BQG196611 BZX196611:CAC196611 CJT196611:CJY196611 CTP196611:CTU196611 DDL196611:DDQ196611 DNH196611:DNM196611 DXD196611:DXI196611 EGZ196611:EHE196611 EQV196611:ERA196611 FAR196611:FAW196611 FKN196611:FKS196611 FUJ196611:FUO196611 GEF196611:GEK196611 GOB196611:GOG196611 GXX196611:GYC196611 HHT196611:HHY196611 HRP196611:HRU196611 IBL196611:IBQ196611 ILH196611:ILM196611 IVD196611:IVI196611 JEZ196611:JFE196611 JOV196611:JPA196611 JYR196611:JYW196611 KIN196611:KIS196611 KSJ196611:KSO196611 LCF196611:LCK196611 LMB196611:LMG196611 LVX196611:LWC196611 MFT196611:MFY196611 MPP196611:MPU196611 MZL196611:MZQ196611 NJH196611:NJM196611 NTD196611:NTI196611 OCZ196611:ODE196611 OMV196611:ONA196611 OWR196611:OWW196611 PGN196611:PGS196611 PQJ196611:PQO196611 QAF196611:QAK196611 QKB196611:QKG196611 QTX196611:QUC196611 RDT196611:RDY196611 RNP196611:RNU196611 RXL196611:RXQ196611 SHH196611:SHM196611 SRD196611:SRI196611 TAZ196611:TBE196611 TKV196611:TLA196611 TUR196611:TUW196611 UEN196611:UES196611 UOJ196611:UOO196611 UYF196611:UYK196611 VIB196611:VIG196611 VRX196611:VSC196611 WBT196611:WBY196611 WLP196611:WLU196611 WVL196611:WVQ196611 D262147:I262147 IZ262147:JE262147 SV262147:TA262147 ACR262147:ACW262147 AMN262147:AMS262147 AWJ262147:AWO262147 BGF262147:BGK262147 BQB262147:BQG262147 BZX262147:CAC262147 CJT262147:CJY262147 CTP262147:CTU262147 DDL262147:DDQ262147 DNH262147:DNM262147 DXD262147:DXI262147 EGZ262147:EHE262147 EQV262147:ERA262147 FAR262147:FAW262147 FKN262147:FKS262147 FUJ262147:FUO262147 GEF262147:GEK262147 GOB262147:GOG262147 GXX262147:GYC262147 HHT262147:HHY262147 HRP262147:HRU262147 IBL262147:IBQ262147 ILH262147:ILM262147 IVD262147:IVI262147 JEZ262147:JFE262147 JOV262147:JPA262147 JYR262147:JYW262147 KIN262147:KIS262147 KSJ262147:KSO262147 LCF262147:LCK262147 LMB262147:LMG262147 LVX262147:LWC262147 MFT262147:MFY262147 MPP262147:MPU262147 MZL262147:MZQ262147 NJH262147:NJM262147 NTD262147:NTI262147 OCZ262147:ODE262147 OMV262147:ONA262147 OWR262147:OWW262147 PGN262147:PGS262147 PQJ262147:PQO262147 QAF262147:QAK262147 QKB262147:QKG262147 QTX262147:QUC262147 RDT262147:RDY262147 RNP262147:RNU262147 RXL262147:RXQ262147 SHH262147:SHM262147 SRD262147:SRI262147 TAZ262147:TBE262147 TKV262147:TLA262147 TUR262147:TUW262147 UEN262147:UES262147 UOJ262147:UOO262147 UYF262147:UYK262147 VIB262147:VIG262147 VRX262147:VSC262147 WBT262147:WBY262147 WLP262147:WLU262147 WVL262147:WVQ262147 D327683:I327683 IZ327683:JE327683 SV327683:TA327683 ACR327683:ACW327683 AMN327683:AMS327683 AWJ327683:AWO327683 BGF327683:BGK327683 BQB327683:BQG327683 BZX327683:CAC327683 CJT327683:CJY327683 CTP327683:CTU327683 DDL327683:DDQ327683 DNH327683:DNM327683 DXD327683:DXI327683 EGZ327683:EHE327683 EQV327683:ERA327683 FAR327683:FAW327683 FKN327683:FKS327683 FUJ327683:FUO327683 GEF327683:GEK327683 GOB327683:GOG327683 GXX327683:GYC327683 HHT327683:HHY327683 HRP327683:HRU327683 IBL327683:IBQ327683 ILH327683:ILM327683 IVD327683:IVI327683 JEZ327683:JFE327683 JOV327683:JPA327683 JYR327683:JYW327683 KIN327683:KIS327683 KSJ327683:KSO327683 LCF327683:LCK327683 LMB327683:LMG327683 LVX327683:LWC327683 MFT327683:MFY327683 MPP327683:MPU327683 MZL327683:MZQ327683 NJH327683:NJM327683 NTD327683:NTI327683 OCZ327683:ODE327683 OMV327683:ONA327683 OWR327683:OWW327683 PGN327683:PGS327683 PQJ327683:PQO327683 QAF327683:QAK327683 QKB327683:QKG327683 QTX327683:QUC327683 RDT327683:RDY327683 RNP327683:RNU327683 RXL327683:RXQ327683 SHH327683:SHM327683 SRD327683:SRI327683 TAZ327683:TBE327683 TKV327683:TLA327683 TUR327683:TUW327683 UEN327683:UES327683 UOJ327683:UOO327683 UYF327683:UYK327683 VIB327683:VIG327683 VRX327683:VSC327683 WBT327683:WBY327683 WLP327683:WLU327683 WVL327683:WVQ327683 D393219:I393219 IZ393219:JE393219 SV393219:TA393219 ACR393219:ACW393219 AMN393219:AMS393219 AWJ393219:AWO393219 BGF393219:BGK393219 BQB393219:BQG393219 BZX393219:CAC393219 CJT393219:CJY393219 CTP393219:CTU393219 DDL393219:DDQ393219 DNH393219:DNM393219 DXD393219:DXI393219 EGZ393219:EHE393219 EQV393219:ERA393219 FAR393219:FAW393219 FKN393219:FKS393219 FUJ393219:FUO393219 GEF393219:GEK393219 GOB393219:GOG393219 GXX393219:GYC393219 HHT393219:HHY393219 HRP393219:HRU393219 IBL393219:IBQ393219 ILH393219:ILM393219 IVD393219:IVI393219 JEZ393219:JFE393219 JOV393219:JPA393219 JYR393219:JYW393219 KIN393219:KIS393219 KSJ393219:KSO393219 LCF393219:LCK393219 LMB393219:LMG393219 LVX393219:LWC393219 MFT393219:MFY393219 MPP393219:MPU393219 MZL393219:MZQ393219 NJH393219:NJM393219 NTD393219:NTI393219 OCZ393219:ODE393219 OMV393219:ONA393219 OWR393219:OWW393219 PGN393219:PGS393219 PQJ393219:PQO393219 QAF393219:QAK393219 QKB393219:QKG393219 QTX393219:QUC393219 RDT393219:RDY393219 RNP393219:RNU393219 RXL393219:RXQ393219 SHH393219:SHM393219 SRD393219:SRI393219 TAZ393219:TBE393219 TKV393219:TLA393219 TUR393219:TUW393219 UEN393219:UES393219 UOJ393219:UOO393219 UYF393219:UYK393219 VIB393219:VIG393219 VRX393219:VSC393219 WBT393219:WBY393219 WLP393219:WLU393219 WVL393219:WVQ393219 D458755:I458755 IZ458755:JE458755 SV458755:TA458755 ACR458755:ACW458755 AMN458755:AMS458755 AWJ458755:AWO458755 BGF458755:BGK458755 BQB458755:BQG458755 BZX458755:CAC458755 CJT458755:CJY458755 CTP458755:CTU458755 DDL458755:DDQ458755 DNH458755:DNM458755 DXD458755:DXI458755 EGZ458755:EHE458755 EQV458755:ERA458755 FAR458755:FAW458755 FKN458755:FKS458755 FUJ458755:FUO458755 GEF458755:GEK458755 GOB458755:GOG458755 GXX458755:GYC458755 HHT458755:HHY458755 HRP458755:HRU458755 IBL458755:IBQ458755 ILH458755:ILM458755 IVD458755:IVI458755 JEZ458755:JFE458755 JOV458755:JPA458755 JYR458755:JYW458755 KIN458755:KIS458755 KSJ458755:KSO458755 LCF458755:LCK458755 LMB458755:LMG458755 LVX458755:LWC458755 MFT458755:MFY458755 MPP458755:MPU458755 MZL458755:MZQ458755 NJH458755:NJM458755 NTD458755:NTI458755 OCZ458755:ODE458755 OMV458755:ONA458755 OWR458755:OWW458755 PGN458755:PGS458755 PQJ458755:PQO458755 QAF458755:QAK458755 QKB458755:QKG458755 QTX458755:QUC458755 RDT458755:RDY458755 RNP458755:RNU458755 RXL458755:RXQ458755 SHH458755:SHM458755 SRD458755:SRI458755 TAZ458755:TBE458755 TKV458755:TLA458755 TUR458755:TUW458755 UEN458755:UES458755 UOJ458755:UOO458755 UYF458755:UYK458755 VIB458755:VIG458755 VRX458755:VSC458755 WBT458755:WBY458755 WLP458755:WLU458755 WVL458755:WVQ458755 D524291:I524291 IZ524291:JE524291 SV524291:TA524291 ACR524291:ACW524291 AMN524291:AMS524291 AWJ524291:AWO524291 BGF524291:BGK524291 BQB524291:BQG524291 BZX524291:CAC524291 CJT524291:CJY524291 CTP524291:CTU524291 DDL524291:DDQ524291 DNH524291:DNM524291 DXD524291:DXI524291 EGZ524291:EHE524291 EQV524291:ERA524291 FAR524291:FAW524291 FKN524291:FKS524291 FUJ524291:FUO524291 GEF524291:GEK524291 GOB524291:GOG524291 GXX524291:GYC524291 HHT524291:HHY524291 HRP524291:HRU524291 IBL524291:IBQ524291 ILH524291:ILM524291 IVD524291:IVI524291 JEZ524291:JFE524291 JOV524291:JPA524291 JYR524291:JYW524291 KIN524291:KIS524291 KSJ524291:KSO524291 LCF524291:LCK524291 LMB524291:LMG524291 LVX524291:LWC524291 MFT524291:MFY524291 MPP524291:MPU524291 MZL524291:MZQ524291 NJH524291:NJM524291 NTD524291:NTI524291 OCZ524291:ODE524291 OMV524291:ONA524291 OWR524291:OWW524291 PGN524291:PGS524291 PQJ524291:PQO524291 QAF524291:QAK524291 QKB524291:QKG524291 QTX524291:QUC524291 RDT524291:RDY524291 RNP524291:RNU524291 RXL524291:RXQ524291 SHH524291:SHM524291 SRD524291:SRI524291 TAZ524291:TBE524291 TKV524291:TLA524291 TUR524291:TUW524291 UEN524291:UES524291 UOJ524291:UOO524291 UYF524291:UYK524291 VIB524291:VIG524291 VRX524291:VSC524291 WBT524291:WBY524291 WLP524291:WLU524291 WVL524291:WVQ524291 D589827:I589827 IZ589827:JE589827 SV589827:TA589827 ACR589827:ACW589827 AMN589827:AMS589827 AWJ589827:AWO589827 BGF589827:BGK589827 BQB589827:BQG589827 BZX589827:CAC589827 CJT589827:CJY589827 CTP589827:CTU589827 DDL589827:DDQ589827 DNH589827:DNM589827 DXD589827:DXI589827 EGZ589827:EHE589827 EQV589827:ERA589827 FAR589827:FAW589827 FKN589827:FKS589827 FUJ589827:FUO589827 GEF589827:GEK589827 GOB589827:GOG589827 GXX589827:GYC589827 HHT589827:HHY589827 HRP589827:HRU589827 IBL589827:IBQ589827 ILH589827:ILM589827 IVD589827:IVI589827 JEZ589827:JFE589827 JOV589827:JPA589827 JYR589827:JYW589827 KIN589827:KIS589827 KSJ589827:KSO589827 LCF589827:LCK589827 LMB589827:LMG589827 LVX589827:LWC589827 MFT589827:MFY589827 MPP589827:MPU589827 MZL589827:MZQ589827 NJH589827:NJM589827 NTD589827:NTI589827 OCZ589827:ODE589827 OMV589827:ONA589827 OWR589827:OWW589827 PGN589827:PGS589827 PQJ589827:PQO589827 QAF589827:QAK589827 QKB589827:QKG589827 QTX589827:QUC589827 RDT589827:RDY589827 RNP589827:RNU589827 RXL589827:RXQ589827 SHH589827:SHM589827 SRD589827:SRI589827 TAZ589827:TBE589827 TKV589827:TLA589827 TUR589827:TUW589827 UEN589827:UES589827 UOJ589827:UOO589827 UYF589827:UYK589827 VIB589827:VIG589827 VRX589827:VSC589827 WBT589827:WBY589827 WLP589827:WLU589827 WVL589827:WVQ589827 D655363:I655363 IZ655363:JE655363 SV655363:TA655363 ACR655363:ACW655363 AMN655363:AMS655363 AWJ655363:AWO655363 BGF655363:BGK655363 BQB655363:BQG655363 BZX655363:CAC655363 CJT655363:CJY655363 CTP655363:CTU655363 DDL655363:DDQ655363 DNH655363:DNM655363 DXD655363:DXI655363 EGZ655363:EHE655363 EQV655363:ERA655363 FAR655363:FAW655363 FKN655363:FKS655363 FUJ655363:FUO655363 GEF655363:GEK655363 GOB655363:GOG655363 GXX655363:GYC655363 HHT655363:HHY655363 HRP655363:HRU655363 IBL655363:IBQ655363 ILH655363:ILM655363 IVD655363:IVI655363 JEZ655363:JFE655363 JOV655363:JPA655363 JYR655363:JYW655363 KIN655363:KIS655363 KSJ655363:KSO655363 LCF655363:LCK655363 LMB655363:LMG655363 LVX655363:LWC655363 MFT655363:MFY655363 MPP655363:MPU655363 MZL655363:MZQ655363 NJH655363:NJM655363 NTD655363:NTI655363 OCZ655363:ODE655363 OMV655363:ONA655363 OWR655363:OWW655363 PGN655363:PGS655363 PQJ655363:PQO655363 QAF655363:QAK655363 QKB655363:QKG655363 QTX655363:QUC655363 RDT655363:RDY655363 RNP655363:RNU655363 RXL655363:RXQ655363 SHH655363:SHM655363 SRD655363:SRI655363 TAZ655363:TBE655363 TKV655363:TLA655363 TUR655363:TUW655363 UEN655363:UES655363 UOJ655363:UOO655363 UYF655363:UYK655363 VIB655363:VIG655363 VRX655363:VSC655363 WBT655363:WBY655363 WLP655363:WLU655363 WVL655363:WVQ655363 D720899:I720899 IZ720899:JE720899 SV720899:TA720899 ACR720899:ACW720899 AMN720899:AMS720899 AWJ720899:AWO720899 BGF720899:BGK720899 BQB720899:BQG720899 BZX720899:CAC720899 CJT720899:CJY720899 CTP720899:CTU720899 DDL720899:DDQ720899 DNH720899:DNM720899 DXD720899:DXI720899 EGZ720899:EHE720899 EQV720899:ERA720899 FAR720899:FAW720899 FKN720899:FKS720899 FUJ720899:FUO720899 GEF720899:GEK720899 GOB720899:GOG720899 GXX720899:GYC720899 HHT720899:HHY720899 HRP720899:HRU720899 IBL720899:IBQ720899 ILH720899:ILM720899 IVD720899:IVI720899 JEZ720899:JFE720899 JOV720899:JPA720899 JYR720899:JYW720899 KIN720899:KIS720899 KSJ720899:KSO720899 LCF720899:LCK720899 LMB720899:LMG720899 LVX720899:LWC720899 MFT720899:MFY720899 MPP720899:MPU720899 MZL720899:MZQ720899 NJH720899:NJM720899 NTD720899:NTI720899 OCZ720899:ODE720899 OMV720899:ONA720899 OWR720899:OWW720899 PGN720899:PGS720899 PQJ720899:PQO720899 QAF720899:QAK720899 QKB720899:QKG720899 QTX720899:QUC720899 RDT720899:RDY720899 RNP720899:RNU720899 RXL720899:RXQ720899 SHH720899:SHM720899 SRD720899:SRI720899 TAZ720899:TBE720899 TKV720899:TLA720899 TUR720899:TUW720899 UEN720899:UES720899 UOJ720899:UOO720899 UYF720899:UYK720899 VIB720899:VIG720899 VRX720899:VSC720899 WBT720899:WBY720899 WLP720899:WLU720899 WVL720899:WVQ720899 D786435:I786435 IZ786435:JE786435 SV786435:TA786435 ACR786435:ACW786435 AMN786435:AMS786435 AWJ786435:AWO786435 BGF786435:BGK786435 BQB786435:BQG786435 BZX786435:CAC786435 CJT786435:CJY786435 CTP786435:CTU786435 DDL786435:DDQ786435 DNH786435:DNM786435 DXD786435:DXI786435 EGZ786435:EHE786435 EQV786435:ERA786435 FAR786435:FAW786435 FKN786435:FKS786435 FUJ786435:FUO786435 GEF786435:GEK786435 GOB786435:GOG786435 GXX786435:GYC786435 HHT786435:HHY786435 HRP786435:HRU786435 IBL786435:IBQ786435 ILH786435:ILM786435 IVD786435:IVI786435 JEZ786435:JFE786435 JOV786435:JPA786435 JYR786435:JYW786435 KIN786435:KIS786435 KSJ786435:KSO786435 LCF786435:LCK786435 LMB786435:LMG786435 LVX786435:LWC786435 MFT786435:MFY786435 MPP786435:MPU786435 MZL786435:MZQ786435 NJH786435:NJM786435 NTD786435:NTI786435 OCZ786435:ODE786435 OMV786435:ONA786435 OWR786435:OWW786435 PGN786435:PGS786435 PQJ786435:PQO786435 QAF786435:QAK786435 QKB786435:QKG786435 QTX786435:QUC786435 RDT786435:RDY786435 RNP786435:RNU786435 RXL786435:RXQ786435 SHH786435:SHM786435 SRD786435:SRI786435 TAZ786435:TBE786435 TKV786435:TLA786435 TUR786435:TUW786435 UEN786435:UES786435 UOJ786435:UOO786435 UYF786435:UYK786435 VIB786435:VIG786435 VRX786435:VSC786435 WBT786435:WBY786435 WLP786435:WLU786435 WVL786435:WVQ786435 D851971:I851971 IZ851971:JE851971 SV851971:TA851971 ACR851971:ACW851971 AMN851971:AMS851971 AWJ851971:AWO851971 BGF851971:BGK851971 BQB851971:BQG851971 BZX851971:CAC851971 CJT851971:CJY851971 CTP851971:CTU851971 DDL851971:DDQ851971 DNH851971:DNM851971 DXD851971:DXI851971 EGZ851971:EHE851971 EQV851971:ERA851971 FAR851971:FAW851971 FKN851971:FKS851971 FUJ851971:FUO851971 GEF851971:GEK851971 GOB851971:GOG851971 GXX851971:GYC851971 HHT851971:HHY851971 HRP851971:HRU851971 IBL851971:IBQ851971 ILH851971:ILM851971 IVD851971:IVI851971 JEZ851971:JFE851971 JOV851971:JPA851971 JYR851971:JYW851971 KIN851971:KIS851971 KSJ851971:KSO851971 LCF851971:LCK851971 LMB851971:LMG851971 LVX851971:LWC851971 MFT851971:MFY851971 MPP851971:MPU851971 MZL851971:MZQ851971 NJH851971:NJM851971 NTD851971:NTI851971 OCZ851971:ODE851971 OMV851971:ONA851971 OWR851971:OWW851971 PGN851971:PGS851971 PQJ851971:PQO851971 QAF851971:QAK851971 QKB851971:QKG851971 QTX851971:QUC851971 RDT851971:RDY851971 RNP851971:RNU851971 RXL851971:RXQ851971 SHH851971:SHM851971 SRD851971:SRI851971 TAZ851971:TBE851971 TKV851971:TLA851971 TUR851971:TUW851971 UEN851971:UES851971 UOJ851971:UOO851971 UYF851971:UYK851971 VIB851971:VIG851971 VRX851971:VSC851971 WBT851971:WBY851971 WLP851971:WLU851971 WVL851971:WVQ851971 D917507:I917507 IZ917507:JE917507 SV917507:TA917507 ACR917507:ACW917507 AMN917507:AMS917507 AWJ917507:AWO917507 BGF917507:BGK917507 BQB917507:BQG917507 BZX917507:CAC917507 CJT917507:CJY917507 CTP917507:CTU917507 DDL917507:DDQ917507 DNH917507:DNM917507 DXD917507:DXI917507 EGZ917507:EHE917507 EQV917507:ERA917507 FAR917507:FAW917507 FKN917507:FKS917507 FUJ917507:FUO917507 GEF917507:GEK917507 GOB917507:GOG917507 GXX917507:GYC917507 HHT917507:HHY917507 HRP917507:HRU917507 IBL917507:IBQ917507 ILH917507:ILM917507 IVD917507:IVI917507 JEZ917507:JFE917507 JOV917507:JPA917507 JYR917507:JYW917507 KIN917507:KIS917507 KSJ917507:KSO917507 LCF917507:LCK917507 LMB917507:LMG917507 LVX917507:LWC917507 MFT917507:MFY917507 MPP917507:MPU917507 MZL917507:MZQ917507 NJH917507:NJM917507 NTD917507:NTI917507 OCZ917507:ODE917507 OMV917507:ONA917507 OWR917507:OWW917507 PGN917507:PGS917507 PQJ917507:PQO917507 QAF917507:QAK917507 QKB917507:QKG917507 QTX917507:QUC917507 RDT917507:RDY917507 RNP917507:RNU917507 RXL917507:RXQ917507 SHH917507:SHM917507 SRD917507:SRI917507 TAZ917507:TBE917507 TKV917507:TLA917507 TUR917507:TUW917507 UEN917507:UES917507 UOJ917507:UOO917507 UYF917507:UYK917507 VIB917507:VIG917507 VRX917507:VSC917507 WBT917507:WBY917507 WLP917507:WLU917507 WVL917507:WVQ917507 D983043:I983043 IZ983043:JE983043 SV983043:TA983043 ACR983043:ACW983043 AMN983043:AMS983043 AWJ983043:AWO983043 BGF983043:BGK983043 BQB983043:BQG983043 BZX983043:CAC983043 CJT983043:CJY983043 CTP983043:CTU983043 DDL983043:DDQ983043 DNH983043:DNM983043 DXD983043:DXI983043 EGZ983043:EHE983043 EQV983043:ERA983043 FAR983043:FAW983043 FKN983043:FKS983043 FUJ983043:FUO983043 GEF983043:GEK983043 GOB983043:GOG983043 GXX983043:GYC983043 HHT983043:HHY983043 HRP983043:HRU983043 IBL983043:IBQ983043 ILH983043:ILM983043 IVD983043:IVI983043 JEZ983043:JFE983043 JOV983043:JPA983043 JYR983043:JYW983043 KIN983043:KIS983043 KSJ983043:KSO983043 LCF983043:LCK983043 LMB983043:LMG983043 LVX983043:LWC983043 MFT983043:MFY983043 MPP983043:MPU983043 MZL983043:MZQ983043 NJH983043:NJM983043 NTD983043:NTI983043 OCZ983043:ODE983043 OMV983043:ONA983043 OWR983043:OWW983043 PGN983043:PGS983043 PQJ983043:PQO983043 QAF983043:QAK983043 QKB983043:QKG983043 QTX983043:QUC983043 RDT983043:RDY983043 RNP983043:RNU983043 RXL983043:RXQ983043 SHH983043:SHM983043 SRD983043:SRI983043 TAZ983043:TBE983043 TKV983043:TLA983043 TUR983043:TUW983043 UEN983043:UES983043 UOJ983043:UOO983043 UYF983043:UYK983043 VIB983043:VIG983043 VRX983043:VSC983043 WBT983043:WBY983043 WLP983043:WLU983043" xr:uid="{AF1F6619-11D8-4716-B186-1AA3219EDDF1}">
      <formula1>"再新規,新規,既存"</formula1>
    </dataValidation>
    <dataValidation type="list" allowBlank="1" showInputMessage="1" showErrorMessage="1" sqref="L13 JH13 TD13 ACZ13 AMV13 AWR13 BGN13 BQJ13 CAF13 CKB13 CTX13 DDT13 DNP13 DXL13 EHH13 ERD13 FAZ13 FKV13 FUR13 GEN13 GOJ13 GYF13 HIB13 HRX13 IBT13 ILP13 IVL13 JFH13 JPD13 JYZ13 KIV13 KSR13 LCN13 LMJ13 LWF13 MGB13 MPX13 MZT13 NJP13 NTL13 ODH13 OND13 OWZ13 PGV13 PQR13 QAN13 QKJ13 QUF13 REB13 RNX13 RXT13 SHP13 SRL13 TBH13 TLD13 TUZ13 UEV13 UOR13 UYN13 VIJ13 VSF13 WCB13 WLX13 WVT13 L65548 JH65548 TD65548 ACZ65548 AMV65548 AWR65548 BGN65548 BQJ65548 CAF65548 CKB65548 CTX65548 DDT65548 DNP65548 DXL65548 EHH65548 ERD65548 FAZ65548 FKV65548 FUR65548 GEN65548 GOJ65548 GYF65548 HIB65548 HRX65548 IBT65548 ILP65548 IVL65548 JFH65548 JPD65548 JYZ65548 KIV65548 KSR65548 LCN65548 LMJ65548 LWF65548 MGB65548 MPX65548 MZT65548 NJP65548 NTL65548 ODH65548 OND65548 OWZ65548 PGV65548 PQR65548 QAN65548 QKJ65548 QUF65548 REB65548 RNX65548 RXT65548 SHP65548 SRL65548 TBH65548 TLD65548 TUZ65548 UEV65548 UOR65548 UYN65548 VIJ65548 VSF65548 WCB65548 WLX65548 WVT65548 L131084 JH131084 TD131084 ACZ131084 AMV131084 AWR131084 BGN131084 BQJ131084 CAF131084 CKB131084 CTX131084 DDT131084 DNP131084 DXL131084 EHH131084 ERD131084 FAZ131084 FKV131084 FUR131084 GEN131084 GOJ131084 GYF131084 HIB131084 HRX131084 IBT131084 ILP131084 IVL131084 JFH131084 JPD131084 JYZ131084 KIV131084 KSR131084 LCN131084 LMJ131084 LWF131084 MGB131084 MPX131084 MZT131084 NJP131084 NTL131084 ODH131084 OND131084 OWZ131084 PGV131084 PQR131084 QAN131084 QKJ131084 QUF131084 REB131084 RNX131084 RXT131084 SHP131084 SRL131084 TBH131084 TLD131084 TUZ131084 UEV131084 UOR131084 UYN131084 VIJ131084 VSF131084 WCB131084 WLX131084 WVT131084 L196620 JH196620 TD196620 ACZ196620 AMV196620 AWR196620 BGN196620 BQJ196620 CAF196620 CKB196620 CTX196620 DDT196620 DNP196620 DXL196620 EHH196620 ERD196620 FAZ196620 FKV196620 FUR196620 GEN196620 GOJ196620 GYF196620 HIB196620 HRX196620 IBT196620 ILP196620 IVL196620 JFH196620 JPD196620 JYZ196620 KIV196620 KSR196620 LCN196620 LMJ196620 LWF196620 MGB196620 MPX196620 MZT196620 NJP196620 NTL196620 ODH196620 OND196620 OWZ196620 PGV196620 PQR196620 QAN196620 QKJ196620 QUF196620 REB196620 RNX196620 RXT196620 SHP196620 SRL196620 TBH196620 TLD196620 TUZ196620 UEV196620 UOR196620 UYN196620 VIJ196620 VSF196620 WCB196620 WLX196620 WVT196620 L262156 JH262156 TD262156 ACZ262156 AMV262156 AWR262156 BGN262156 BQJ262156 CAF262156 CKB262156 CTX262156 DDT262156 DNP262156 DXL262156 EHH262156 ERD262156 FAZ262156 FKV262156 FUR262156 GEN262156 GOJ262156 GYF262156 HIB262156 HRX262156 IBT262156 ILP262156 IVL262156 JFH262156 JPD262156 JYZ262156 KIV262156 KSR262156 LCN262156 LMJ262156 LWF262156 MGB262156 MPX262156 MZT262156 NJP262156 NTL262156 ODH262156 OND262156 OWZ262156 PGV262156 PQR262156 QAN262156 QKJ262156 QUF262156 REB262156 RNX262156 RXT262156 SHP262156 SRL262156 TBH262156 TLD262156 TUZ262156 UEV262156 UOR262156 UYN262156 VIJ262156 VSF262156 WCB262156 WLX262156 WVT262156 L327692 JH327692 TD327692 ACZ327692 AMV327692 AWR327692 BGN327692 BQJ327692 CAF327692 CKB327692 CTX327692 DDT327692 DNP327692 DXL327692 EHH327692 ERD327692 FAZ327692 FKV327692 FUR327692 GEN327692 GOJ327692 GYF327692 HIB327692 HRX327692 IBT327692 ILP327692 IVL327692 JFH327692 JPD327692 JYZ327692 KIV327692 KSR327692 LCN327692 LMJ327692 LWF327692 MGB327692 MPX327692 MZT327692 NJP327692 NTL327692 ODH327692 OND327692 OWZ327692 PGV327692 PQR327692 QAN327692 QKJ327692 QUF327692 REB327692 RNX327692 RXT327692 SHP327692 SRL327692 TBH327692 TLD327692 TUZ327692 UEV327692 UOR327692 UYN327692 VIJ327692 VSF327692 WCB327692 WLX327692 WVT327692 L393228 JH393228 TD393228 ACZ393228 AMV393228 AWR393228 BGN393228 BQJ393228 CAF393228 CKB393228 CTX393228 DDT393228 DNP393228 DXL393228 EHH393228 ERD393228 FAZ393228 FKV393228 FUR393228 GEN393228 GOJ393228 GYF393228 HIB393228 HRX393228 IBT393228 ILP393228 IVL393228 JFH393228 JPD393228 JYZ393228 KIV393228 KSR393228 LCN393228 LMJ393228 LWF393228 MGB393228 MPX393228 MZT393228 NJP393228 NTL393228 ODH393228 OND393228 OWZ393228 PGV393228 PQR393228 QAN393228 QKJ393228 QUF393228 REB393228 RNX393228 RXT393228 SHP393228 SRL393228 TBH393228 TLD393228 TUZ393228 UEV393228 UOR393228 UYN393228 VIJ393228 VSF393228 WCB393228 WLX393228 WVT393228 L458764 JH458764 TD458764 ACZ458764 AMV458764 AWR458764 BGN458764 BQJ458764 CAF458764 CKB458764 CTX458764 DDT458764 DNP458764 DXL458764 EHH458764 ERD458764 FAZ458764 FKV458764 FUR458764 GEN458764 GOJ458764 GYF458764 HIB458764 HRX458764 IBT458764 ILP458764 IVL458764 JFH458764 JPD458764 JYZ458764 KIV458764 KSR458764 LCN458764 LMJ458764 LWF458764 MGB458764 MPX458764 MZT458764 NJP458764 NTL458764 ODH458764 OND458764 OWZ458764 PGV458764 PQR458764 QAN458764 QKJ458764 QUF458764 REB458764 RNX458764 RXT458764 SHP458764 SRL458764 TBH458764 TLD458764 TUZ458764 UEV458764 UOR458764 UYN458764 VIJ458764 VSF458764 WCB458764 WLX458764 WVT458764 L524300 JH524300 TD524300 ACZ524300 AMV524300 AWR524300 BGN524300 BQJ524300 CAF524300 CKB524300 CTX524300 DDT524300 DNP524300 DXL524300 EHH524300 ERD524300 FAZ524300 FKV524300 FUR524300 GEN524300 GOJ524300 GYF524300 HIB524300 HRX524300 IBT524300 ILP524300 IVL524300 JFH524300 JPD524300 JYZ524300 KIV524300 KSR524300 LCN524300 LMJ524300 LWF524300 MGB524300 MPX524300 MZT524300 NJP524300 NTL524300 ODH524300 OND524300 OWZ524300 PGV524300 PQR524300 QAN524300 QKJ524300 QUF524300 REB524300 RNX524300 RXT524300 SHP524300 SRL524300 TBH524300 TLD524300 TUZ524300 UEV524300 UOR524300 UYN524300 VIJ524300 VSF524300 WCB524300 WLX524300 WVT524300 L589836 JH589836 TD589836 ACZ589836 AMV589836 AWR589836 BGN589836 BQJ589836 CAF589836 CKB589836 CTX589836 DDT589836 DNP589836 DXL589836 EHH589836 ERD589836 FAZ589836 FKV589836 FUR589836 GEN589836 GOJ589836 GYF589836 HIB589836 HRX589836 IBT589836 ILP589836 IVL589836 JFH589836 JPD589836 JYZ589836 KIV589836 KSR589836 LCN589836 LMJ589836 LWF589836 MGB589836 MPX589836 MZT589836 NJP589836 NTL589836 ODH589836 OND589836 OWZ589836 PGV589836 PQR589836 QAN589836 QKJ589836 QUF589836 REB589836 RNX589836 RXT589836 SHP589836 SRL589836 TBH589836 TLD589836 TUZ589836 UEV589836 UOR589836 UYN589836 VIJ589836 VSF589836 WCB589836 WLX589836 WVT589836 L655372 JH655372 TD655372 ACZ655372 AMV655372 AWR655372 BGN655372 BQJ655372 CAF655372 CKB655372 CTX655372 DDT655372 DNP655372 DXL655372 EHH655372 ERD655372 FAZ655372 FKV655372 FUR655372 GEN655372 GOJ655372 GYF655372 HIB655372 HRX655372 IBT655372 ILP655372 IVL655372 JFH655372 JPD655372 JYZ655372 KIV655372 KSR655372 LCN655372 LMJ655372 LWF655372 MGB655372 MPX655372 MZT655372 NJP655372 NTL655372 ODH655372 OND655372 OWZ655372 PGV655372 PQR655372 QAN655372 QKJ655372 QUF655372 REB655372 RNX655372 RXT655372 SHP655372 SRL655372 TBH655372 TLD655372 TUZ655372 UEV655372 UOR655372 UYN655372 VIJ655372 VSF655372 WCB655372 WLX655372 WVT655372 L720908 JH720908 TD720908 ACZ720908 AMV720908 AWR720908 BGN720908 BQJ720908 CAF720908 CKB720908 CTX720908 DDT720908 DNP720908 DXL720908 EHH720908 ERD720908 FAZ720908 FKV720908 FUR720908 GEN720908 GOJ720908 GYF720908 HIB720908 HRX720908 IBT720908 ILP720908 IVL720908 JFH720908 JPD720908 JYZ720908 KIV720908 KSR720908 LCN720908 LMJ720908 LWF720908 MGB720908 MPX720908 MZT720908 NJP720908 NTL720908 ODH720908 OND720908 OWZ720908 PGV720908 PQR720908 QAN720908 QKJ720908 QUF720908 REB720908 RNX720908 RXT720908 SHP720908 SRL720908 TBH720908 TLD720908 TUZ720908 UEV720908 UOR720908 UYN720908 VIJ720908 VSF720908 WCB720908 WLX720908 WVT720908 L786444 JH786444 TD786444 ACZ786444 AMV786444 AWR786444 BGN786444 BQJ786444 CAF786444 CKB786444 CTX786444 DDT786444 DNP786444 DXL786444 EHH786444 ERD786444 FAZ786444 FKV786444 FUR786444 GEN786444 GOJ786444 GYF786444 HIB786444 HRX786444 IBT786444 ILP786444 IVL786444 JFH786444 JPD786444 JYZ786444 KIV786444 KSR786444 LCN786444 LMJ786444 LWF786444 MGB786444 MPX786444 MZT786444 NJP786444 NTL786444 ODH786444 OND786444 OWZ786444 PGV786444 PQR786444 QAN786444 QKJ786444 QUF786444 REB786444 RNX786444 RXT786444 SHP786444 SRL786444 TBH786444 TLD786444 TUZ786444 UEV786444 UOR786444 UYN786444 VIJ786444 VSF786444 WCB786444 WLX786444 WVT786444 L851980 JH851980 TD851980 ACZ851980 AMV851980 AWR851980 BGN851980 BQJ851980 CAF851980 CKB851980 CTX851980 DDT851980 DNP851980 DXL851980 EHH851980 ERD851980 FAZ851980 FKV851980 FUR851980 GEN851980 GOJ851980 GYF851980 HIB851980 HRX851980 IBT851980 ILP851980 IVL851980 JFH851980 JPD851980 JYZ851980 KIV851980 KSR851980 LCN851980 LMJ851980 LWF851980 MGB851980 MPX851980 MZT851980 NJP851980 NTL851980 ODH851980 OND851980 OWZ851980 PGV851980 PQR851980 QAN851980 QKJ851980 QUF851980 REB851980 RNX851980 RXT851980 SHP851980 SRL851980 TBH851980 TLD851980 TUZ851980 UEV851980 UOR851980 UYN851980 VIJ851980 VSF851980 WCB851980 WLX851980 WVT851980 L917516 JH917516 TD917516 ACZ917516 AMV917516 AWR917516 BGN917516 BQJ917516 CAF917516 CKB917516 CTX917516 DDT917516 DNP917516 DXL917516 EHH917516 ERD917516 FAZ917516 FKV917516 FUR917516 GEN917516 GOJ917516 GYF917516 HIB917516 HRX917516 IBT917516 ILP917516 IVL917516 JFH917516 JPD917516 JYZ917516 KIV917516 KSR917516 LCN917516 LMJ917516 LWF917516 MGB917516 MPX917516 MZT917516 NJP917516 NTL917516 ODH917516 OND917516 OWZ917516 PGV917516 PQR917516 QAN917516 QKJ917516 QUF917516 REB917516 RNX917516 RXT917516 SHP917516 SRL917516 TBH917516 TLD917516 TUZ917516 UEV917516 UOR917516 UYN917516 VIJ917516 VSF917516 WCB917516 WLX917516 WVT917516 L983052 JH983052 TD983052 ACZ983052 AMV983052 AWR983052 BGN983052 BQJ983052 CAF983052 CKB983052 CTX983052 DDT983052 DNP983052 DXL983052 EHH983052 ERD983052 FAZ983052 FKV983052 FUR983052 GEN983052 GOJ983052 GYF983052 HIB983052 HRX983052 IBT983052 ILP983052 IVL983052 JFH983052 JPD983052 JYZ983052 KIV983052 KSR983052 LCN983052 LMJ983052 LWF983052 MGB983052 MPX983052 MZT983052 NJP983052 NTL983052 ODH983052 OND983052 OWZ983052 PGV983052 PQR983052 QAN983052 QKJ983052 QUF983052 REB983052 RNX983052 RXT983052 SHP983052 SRL983052 TBH983052 TLD983052 TUZ983052 UEV983052 UOR983052 UYN983052 VIJ983052 VSF983052 WCB983052 WLX983052 WVT983052" xr:uid="{086F9106-8D0E-442A-B3AF-D223221D3235}">
      <formula1>"プライム,スタンダード,グロース,上場子会社,未上場"</formula1>
    </dataValidation>
    <dataValidation type="list" allowBlank="1" showInputMessage="1" showErrorMessage="1" sqref="V20:W23 JR20:JS23 TN20:TO23 ADJ20:ADK23 ANF20:ANG23 AXB20:AXC23 BGX20:BGY23 BQT20:BQU23 CAP20:CAQ23 CKL20:CKM23 CUH20:CUI23 DED20:DEE23 DNZ20:DOA23 DXV20:DXW23 EHR20:EHS23 ERN20:ERO23 FBJ20:FBK23 FLF20:FLG23 FVB20:FVC23 GEX20:GEY23 GOT20:GOU23 GYP20:GYQ23 HIL20:HIM23 HSH20:HSI23 ICD20:ICE23 ILZ20:IMA23 IVV20:IVW23 JFR20:JFS23 JPN20:JPO23 JZJ20:JZK23 KJF20:KJG23 KTB20:KTC23 LCX20:LCY23 LMT20:LMU23 LWP20:LWQ23 MGL20:MGM23 MQH20:MQI23 NAD20:NAE23 NJZ20:NKA23 NTV20:NTW23 ODR20:ODS23 ONN20:ONO23 OXJ20:OXK23 PHF20:PHG23 PRB20:PRC23 QAX20:QAY23 QKT20:QKU23 QUP20:QUQ23 REL20:REM23 ROH20:ROI23 RYD20:RYE23 SHZ20:SIA23 SRV20:SRW23 TBR20:TBS23 TLN20:TLO23 TVJ20:TVK23 UFF20:UFG23 UPB20:UPC23 UYX20:UYY23 VIT20:VIU23 VSP20:VSQ23 WCL20:WCM23 WMH20:WMI23 WWD20:WWE23 V65555:W65558 JR65555:JS65558 TN65555:TO65558 ADJ65555:ADK65558 ANF65555:ANG65558 AXB65555:AXC65558 BGX65555:BGY65558 BQT65555:BQU65558 CAP65555:CAQ65558 CKL65555:CKM65558 CUH65555:CUI65558 DED65555:DEE65558 DNZ65555:DOA65558 DXV65555:DXW65558 EHR65555:EHS65558 ERN65555:ERO65558 FBJ65555:FBK65558 FLF65555:FLG65558 FVB65555:FVC65558 GEX65555:GEY65558 GOT65555:GOU65558 GYP65555:GYQ65558 HIL65555:HIM65558 HSH65555:HSI65558 ICD65555:ICE65558 ILZ65555:IMA65558 IVV65555:IVW65558 JFR65555:JFS65558 JPN65555:JPO65558 JZJ65555:JZK65558 KJF65555:KJG65558 KTB65555:KTC65558 LCX65555:LCY65558 LMT65555:LMU65558 LWP65555:LWQ65558 MGL65555:MGM65558 MQH65555:MQI65558 NAD65555:NAE65558 NJZ65555:NKA65558 NTV65555:NTW65558 ODR65555:ODS65558 ONN65555:ONO65558 OXJ65555:OXK65558 PHF65555:PHG65558 PRB65555:PRC65558 QAX65555:QAY65558 QKT65555:QKU65558 QUP65555:QUQ65558 REL65555:REM65558 ROH65555:ROI65558 RYD65555:RYE65558 SHZ65555:SIA65558 SRV65555:SRW65558 TBR65555:TBS65558 TLN65555:TLO65558 TVJ65555:TVK65558 UFF65555:UFG65558 UPB65555:UPC65558 UYX65555:UYY65558 VIT65555:VIU65558 VSP65555:VSQ65558 WCL65555:WCM65558 WMH65555:WMI65558 WWD65555:WWE65558 V131091:W131094 JR131091:JS131094 TN131091:TO131094 ADJ131091:ADK131094 ANF131091:ANG131094 AXB131091:AXC131094 BGX131091:BGY131094 BQT131091:BQU131094 CAP131091:CAQ131094 CKL131091:CKM131094 CUH131091:CUI131094 DED131091:DEE131094 DNZ131091:DOA131094 DXV131091:DXW131094 EHR131091:EHS131094 ERN131091:ERO131094 FBJ131091:FBK131094 FLF131091:FLG131094 FVB131091:FVC131094 GEX131091:GEY131094 GOT131091:GOU131094 GYP131091:GYQ131094 HIL131091:HIM131094 HSH131091:HSI131094 ICD131091:ICE131094 ILZ131091:IMA131094 IVV131091:IVW131094 JFR131091:JFS131094 JPN131091:JPO131094 JZJ131091:JZK131094 KJF131091:KJG131094 KTB131091:KTC131094 LCX131091:LCY131094 LMT131091:LMU131094 LWP131091:LWQ131094 MGL131091:MGM131094 MQH131091:MQI131094 NAD131091:NAE131094 NJZ131091:NKA131094 NTV131091:NTW131094 ODR131091:ODS131094 ONN131091:ONO131094 OXJ131091:OXK131094 PHF131091:PHG131094 PRB131091:PRC131094 QAX131091:QAY131094 QKT131091:QKU131094 QUP131091:QUQ131094 REL131091:REM131094 ROH131091:ROI131094 RYD131091:RYE131094 SHZ131091:SIA131094 SRV131091:SRW131094 TBR131091:TBS131094 TLN131091:TLO131094 TVJ131091:TVK131094 UFF131091:UFG131094 UPB131091:UPC131094 UYX131091:UYY131094 VIT131091:VIU131094 VSP131091:VSQ131094 WCL131091:WCM131094 WMH131091:WMI131094 WWD131091:WWE131094 V196627:W196630 JR196627:JS196630 TN196627:TO196630 ADJ196627:ADK196630 ANF196627:ANG196630 AXB196627:AXC196630 BGX196627:BGY196630 BQT196627:BQU196630 CAP196627:CAQ196630 CKL196627:CKM196630 CUH196627:CUI196630 DED196627:DEE196630 DNZ196627:DOA196630 DXV196627:DXW196630 EHR196627:EHS196630 ERN196627:ERO196630 FBJ196627:FBK196630 FLF196627:FLG196630 FVB196627:FVC196630 GEX196627:GEY196630 GOT196627:GOU196630 GYP196627:GYQ196630 HIL196627:HIM196630 HSH196627:HSI196630 ICD196627:ICE196630 ILZ196627:IMA196630 IVV196627:IVW196630 JFR196627:JFS196630 JPN196627:JPO196630 JZJ196627:JZK196630 KJF196627:KJG196630 KTB196627:KTC196630 LCX196627:LCY196630 LMT196627:LMU196630 LWP196627:LWQ196630 MGL196627:MGM196630 MQH196627:MQI196630 NAD196627:NAE196630 NJZ196627:NKA196630 NTV196627:NTW196630 ODR196627:ODS196630 ONN196627:ONO196630 OXJ196627:OXK196630 PHF196627:PHG196630 PRB196627:PRC196630 QAX196627:QAY196630 QKT196627:QKU196630 QUP196627:QUQ196630 REL196627:REM196630 ROH196627:ROI196630 RYD196627:RYE196630 SHZ196627:SIA196630 SRV196627:SRW196630 TBR196627:TBS196630 TLN196627:TLO196630 TVJ196627:TVK196630 UFF196627:UFG196630 UPB196627:UPC196630 UYX196627:UYY196630 VIT196627:VIU196630 VSP196627:VSQ196630 WCL196627:WCM196630 WMH196627:WMI196630 WWD196627:WWE196630 V262163:W262166 JR262163:JS262166 TN262163:TO262166 ADJ262163:ADK262166 ANF262163:ANG262166 AXB262163:AXC262166 BGX262163:BGY262166 BQT262163:BQU262166 CAP262163:CAQ262166 CKL262163:CKM262166 CUH262163:CUI262166 DED262163:DEE262166 DNZ262163:DOA262166 DXV262163:DXW262166 EHR262163:EHS262166 ERN262163:ERO262166 FBJ262163:FBK262166 FLF262163:FLG262166 FVB262163:FVC262166 GEX262163:GEY262166 GOT262163:GOU262166 GYP262163:GYQ262166 HIL262163:HIM262166 HSH262163:HSI262166 ICD262163:ICE262166 ILZ262163:IMA262166 IVV262163:IVW262166 JFR262163:JFS262166 JPN262163:JPO262166 JZJ262163:JZK262166 KJF262163:KJG262166 KTB262163:KTC262166 LCX262163:LCY262166 LMT262163:LMU262166 LWP262163:LWQ262166 MGL262163:MGM262166 MQH262163:MQI262166 NAD262163:NAE262166 NJZ262163:NKA262166 NTV262163:NTW262166 ODR262163:ODS262166 ONN262163:ONO262166 OXJ262163:OXK262166 PHF262163:PHG262166 PRB262163:PRC262166 QAX262163:QAY262166 QKT262163:QKU262166 QUP262163:QUQ262166 REL262163:REM262166 ROH262163:ROI262166 RYD262163:RYE262166 SHZ262163:SIA262166 SRV262163:SRW262166 TBR262163:TBS262166 TLN262163:TLO262166 TVJ262163:TVK262166 UFF262163:UFG262166 UPB262163:UPC262166 UYX262163:UYY262166 VIT262163:VIU262166 VSP262163:VSQ262166 WCL262163:WCM262166 WMH262163:WMI262166 WWD262163:WWE262166 V327699:W327702 JR327699:JS327702 TN327699:TO327702 ADJ327699:ADK327702 ANF327699:ANG327702 AXB327699:AXC327702 BGX327699:BGY327702 BQT327699:BQU327702 CAP327699:CAQ327702 CKL327699:CKM327702 CUH327699:CUI327702 DED327699:DEE327702 DNZ327699:DOA327702 DXV327699:DXW327702 EHR327699:EHS327702 ERN327699:ERO327702 FBJ327699:FBK327702 FLF327699:FLG327702 FVB327699:FVC327702 GEX327699:GEY327702 GOT327699:GOU327702 GYP327699:GYQ327702 HIL327699:HIM327702 HSH327699:HSI327702 ICD327699:ICE327702 ILZ327699:IMA327702 IVV327699:IVW327702 JFR327699:JFS327702 JPN327699:JPO327702 JZJ327699:JZK327702 KJF327699:KJG327702 KTB327699:KTC327702 LCX327699:LCY327702 LMT327699:LMU327702 LWP327699:LWQ327702 MGL327699:MGM327702 MQH327699:MQI327702 NAD327699:NAE327702 NJZ327699:NKA327702 NTV327699:NTW327702 ODR327699:ODS327702 ONN327699:ONO327702 OXJ327699:OXK327702 PHF327699:PHG327702 PRB327699:PRC327702 QAX327699:QAY327702 QKT327699:QKU327702 QUP327699:QUQ327702 REL327699:REM327702 ROH327699:ROI327702 RYD327699:RYE327702 SHZ327699:SIA327702 SRV327699:SRW327702 TBR327699:TBS327702 TLN327699:TLO327702 TVJ327699:TVK327702 UFF327699:UFG327702 UPB327699:UPC327702 UYX327699:UYY327702 VIT327699:VIU327702 VSP327699:VSQ327702 WCL327699:WCM327702 WMH327699:WMI327702 WWD327699:WWE327702 V393235:W393238 JR393235:JS393238 TN393235:TO393238 ADJ393235:ADK393238 ANF393235:ANG393238 AXB393235:AXC393238 BGX393235:BGY393238 BQT393235:BQU393238 CAP393235:CAQ393238 CKL393235:CKM393238 CUH393235:CUI393238 DED393235:DEE393238 DNZ393235:DOA393238 DXV393235:DXW393238 EHR393235:EHS393238 ERN393235:ERO393238 FBJ393235:FBK393238 FLF393235:FLG393238 FVB393235:FVC393238 GEX393235:GEY393238 GOT393235:GOU393238 GYP393235:GYQ393238 HIL393235:HIM393238 HSH393235:HSI393238 ICD393235:ICE393238 ILZ393235:IMA393238 IVV393235:IVW393238 JFR393235:JFS393238 JPN393235:JPO393238 JZJ393235:JZK393238 KJF393235:KJG393238 KTB393235:KTC393238 LCX393235:LCY393238 LMT393235:LMU393238 LWP393235:LWQ393238 MGL393235:MGM393238 MQH393235:MQI393238 NAD393235:NAE393238 NJZ393235:NKA393238 NTV393235:NTW393238 ODR393235:ODS393238 ONN393235:ONO393238 OXJ393235:OXK393238 PHF393235:PHG393238 PRB393235:PRC393238 QAX393235:QAY393238 QKT393235:QKU393238 QUP393235:QUQ393238 REL393235:REM393238 ROH393235:ROI393238 RYD393235:RYE393238 SHZ393235:SIA393238 SRV393235:SRW393238 TBR393235:TBS393238 TLN393235:TLO393238 TVJ393235:TVK393238 UFF393235:UFG393238 UPB393235:UPC393238 UYX393235:UYY393238 VIT393235:VIU393238 VSP393235:VSQ393238 WCL393235:WCM393238 WMH393235:WMI393238 WWD393235:WWE393238 V458771:W458774 JR458771:JS458774 TN458771:TO458774 ADJ458771:ADK458774 ANF458771:ANG458774 AXB458771:AXC458774 BGX458771:BGY458774 BQT458771:BQU458774 CAP458771:CAQ458774 CKL458771:CKM458774 CUH458771:CUI458774 DED458771:DEE458774 DNZ458771:DOA458774 DXV458771:DXW458774 EHR458771:EHS458774 ERN458771:ERO458774 FBJ458771:FBK458774 FLF458771:FLG458774 FVB458771:FVC458774 GEX458771:GEY458774 GOT458771:GOU458774 GYP458771:GYQ458774 HIL458771:HIM458774 HSH458771:HSI458774 ICD458771:ICE458774 ILZ458771:IMA458774 IVV458771:IVW458774 JFR458771:JFS458774 JPN458771:JPO458774 JZJ458771:JZK458774 KJF458771:KJG458774 KTB458771:KTC458774 LCX458771:LCY458774 LMT458771:LMU458774 LWP458771:LWQ458774 MGL458771:MGM458774 MQH458771:MQI458774 NAD458771:NAE458774 NJZ458771:NKA458774 NTV458771:NTW458774 ODR458771:ODS458774 ONN458771:ONO458774 OXJ458771:OXK458774 PHF458771:PHG458774 PRB458771:PRC458774 QAX458771:QAY458774 QKT458771:QKU458774 QUP458771:QUQ458774 REL458771:REM458774 ROH458771:ROI458774 RYD458771:RYE458774 SHZ458771:SIA458774 SRV458771:SRW458774 TBR458771:TBS458774 TLN458771:TLO458774 TVJ458771:TVK458774 UFF458771:UFG458774 UPB458771:UPC458774 UYX458771:UYY458774 VIT458771:VIU458774 VSP458771:VSQ458774 WCL458771:WCM458774 WMH458771:WMI458774 WWD458771:WWE458774 V524307:W524310 JR524307:JS524310 TN524307:TO524310 ADJ524307:ADK524310 ANF524307:ANG524310 AXB524307:AXC524310 BGX524307:BGY524310 BQT524307:BQU524310 CAP524307:CAQ524310 CKL524307:CKM524310 CUH524307:CUI524310 DED524307:DEE524310 DNZ524307:DOA524310 DXV524307:DXW524310 EHR524307:EHS524310 ERN524307:ERO524310 FBJ524307:FBK524310 FLF524307:FLG524310 FVB524307:FVC524310 GEX524307:GEY524310 GOT524307:GOU524310 GYP524307:GYQ524310 HIL524307:HIM524310 HSH524307:HSI524310 ICD524307:ICE524310 ILZ524307:IMA524310 IVV524307:IVW524310 JFR524307:JFS524310 JPN524307:JPO524310 JZJ524307:JZK524310 KJF524307:KJG524310 KTB524307:KTC524310 LCX524307:LCY524310 LMT524307:LMU524310 LWP524307:LWQ524310 MGL524307:MGM524310 MQH524307:MQI524310 NAD524307:NAE524310 NJZ524307:NKA524310 NTV524307:NTW524310 ODR524307:ODS524310 ONN524307:ONO524310 OXJ524307:OXK524310 PHF524307:PHG524310 PRB524307:PRC524310 QAX524307:QAY524310 QKT524307:QKU524310 QUP524307:QUQ524310 REL524307:REM524310 ROH524307:ROI524310 RYD524307:RYE524310 SHZ524307:SIA524310 SRV524307:SRW524310 TBR524307:TBS524310 TLN524307:TLO524310 TVJ524307:TVK524310 UFF524307:UFG524310 UPB524307:UPC524310 UYX524307:UYY524310 VIT524307:VIU524310 VSP524307:VSQ524310 WCL524307:WCM524310 WMH524307:WMI524310 WWD524307:WWE524310 V589843:W589846 JR589843:JS589846 TN589843:TO589846 ADJ589843:ADK589846 ANF589843:ANG589846 AXB589843:AXC589846 BGX589843:BGY589846 BQT589843:BQU589846 CAP589843:CAQ589846 CKL589843:CKM589846 CUH589843:CUI589846 DED589843:DEE589846 DNZ589843:DOA589846 DXV589843:DXW589846 EHR589843:EHS589846 ERN589843:ERO589846 FBJ589843:FBK589846 FLF589843:FLG589846 FVB589843:FVC589846 GEX589843:GEY589846 GOT589843:GOU589846 GYP589843:GYQ589846 HIL589843:HIM589846 HSH589843:HSI589846 ICD589843:ICE589846 ILZ589843:IMA589846 IVV589843:IVW589846 JFR589843:JFS589846 JPN589843:JPO589846 JZJ589843:JZK589846 KJF589843:KJG589846 KTB589843:KTC589846 LCX589843:LCY589846 LMT589843:LMU589846 LWP589843:LWQ589846 MGL589843:MGM589846 MQH589843:MQI589846 NAD589843:NAE589846 NJZ589843:NKA589846 NTV589843:NTW589846 ODR589843:ODS589846 ONN589843:ONO589846 OXJ589843:OXK589846 PHF589843:PHG589846 PRB589843:PRC589846 QAX589843:QAY589846 QKT589843:QKU589846 QUP589843:QUQ589846 REL589843:REM589846 ROH589843:ROI589846 RYD589843:RYE589846 SHZ589843:SIA589846 SRV589843:SRW589846 TBR589843:TBS589846 TLN589843:TLO589846 TVJ589843:TVK589846 UFF589843:UFG589846 UPB589843:UPC589846 UYX589843:UYY589846 VIT589843:VIU589846 VSP589843:VSQ589846 WCL589843:WCM589846 WMH589843:WMI589846 WWD589843:WWE589846 V655379:W655382 JR655379:JS655382 TN655379:TO655382 ADJ655379:ADK655382 ANF655379:ANG655382 AXB655379:AXC655382 BGX655379:BGY655382 BQT655379:BQU655382 CAP655379:CAQ655382 CKL655379:CKM655382 CUH655379:CUI655382 DED655379:DEE655382 DNZ655379:DOA655382 DXV655379:DXW655382 EHR655379:EHS655382 ERN655379:ERO655382 FBJ655379:FBK655382 FLF655379:FLG655382 FVB655379:FVC655382 GEX655379:GEY655382 GOT655379:GOU655382 GYP655379:GYQ655382 HIL655379:HIM655382 HSH655379:HSI655382 ICD655379:ICE655382 ILZ655379:IMA655382 IVV655379:IVW655382 JFR655379:JFS655382 JPN655379:JPO655382 JZJ655379:JZK655382 KJF655379:KJG655382 KTB655379:KTC655382 LCX655379:LCY655382 LMT655379:LMU655382 LWP655379:LWQ655382 MGL655379:MGM655382 MQH655379:MQI655382 NAD655379:NAE655382 NJZ655379:NKA655382 NTV655379:NTW655382 ODR655379:ODS655382 ONN655379:ONO655382 OXJ655379:OXK655382 PHF655379:PHG655382 PRB655379:PRC655382 QAX655379:QAY655382 QKT655379:QKU655382 QUP655379:QUQ655382 REL655379:REM655382 ROH655379:ROI655382 RYD655379:RYE655382 SHZ655379:SIA655382 SRV655379:SRW655382 TBR655379:TBS655382 TLN655379:TLO655382 TVJ655379:TVK655382 UFF655379:UFG655382 UPB655379:UPC655382 UYX655379:UYY655382 VIT655379:VIU655382 VSP655379:VSQ655382 WCL655379:WCM655382 WMH655379:WMI655382 WWD655379:WWE655382 V720915:W720918 JR720915:JS720918 TN720915:TO720918 ADJ720915:ADK720918 ANF720915:ANG720918 AXB720915:AXC720918 BGX720915:BGY720918 BQT720915:BQU720918 CAP720915:CAQ720918 CKL720915:CKM720918 CUH720915:CUI720918 DED720915:DEE720918 DNZ720915:DOA720918 DXV720915:DXW720918 EHR720915:EHS720918 ERN720915:ERO720918 FBJ720915:FBK720918 FLF720915:FLG720918 FVB720915:FVC720918 GEX720915:GEY720918 GOT720915:GOU720918 GYP720915:GYQ720918 HIL720915:HIM720918 HSH720915:HSI720918 ICD720915:ICE720918 ILZ720915:IMA720918 IVV720915:IVW720918 JFR720915:JFS720918 JPN720915:JPO720918 JZJ720915:JZK720918 KJF720915:KJG720918 KTB720915:KTC720918 LCX720915:LCY720918 LMT720915:LMU720918 LWP720915:LWQ720918 MGL720915:MGM720918 MQH720915:MQI720918 NAD720915:NAE720918 NJZ720915:NKA720918 NTV720915:NTW720918 ODR720915:ODS720918 ONN720915:ONO720918 OXJ720915:OXK720918 PHF720915:PHG720918 PRB720915:PRC720918 QAX720915:QAY720918 QKT720915:QKU720918 QUP720915:QUQ720918 REL720915:REM720918 ROH720915:ROI720918 RYD720915:RYE720918 SHZ720915:SIA720918 SRV720915:SRW720918 TBR720915:TBS720918 TLN720915:TLO720918 TVJ720915:TVK720918 UFF720915:UFG720918 UPB720915:UPC720918 UYX720915:UYY720918 VIT720915:VIU720918 VSP720915:VSQ720918 WCL720915:WCM720918 WMH720915:WMI720918 WWD720915:WWE720918 V786451:W786454 JR786451:JS786454 TN786451:TO786454 ADJ786451:ADK786454 ANF786451:ANG786454 AXB786451:AXC786454 BGX786451:BGY786454 BQT786451:BQU786454 CAP786451:CAQ786454 CKL786451:CKM786454 CUH786451:CUI786454 DED786451:DEE786454 DNZ786451:DOA786454 DXV786451:DXW786454 EHR786451:EHS786454 ERN786451:ERO786454 FBJ786451:FBK786454 FLF786451:FLG786454 FVB786451:FVC786454 GEX786451:GEY786454 GOT786451:GOU786454 GYP786451:GYQ786454 HIL786451:HIM786454 HSH786451:HSI786454 ICD786451:ICE786454 ILZ786451:IMA786454 IVV786451:IVW786454 JFR786451:JFS786454 JPN786451:JPO786454 JZJ786451:JZK786454 KJF786451:KJG786454 KTB786451:KTC786454 LCX786451:LCY786454 LMT786451:LMU786454 LWP786451:LWQ786454 MGL786451:MGM786454 MQH786451:MQI786454 NAD786451:NAE786454 NJZ786451:NKA786454 NTV786451:NTW786454 ODR786451:ODS786454 ONN786451:ONO786454 OXJ786451:OXK786454 PHF786451:PHG786454 PRB786451:PRC786454 QAX786451:QAY786454 QKT786451:QKU786454 QUP786451:QUQ786454 REL786451:REM786454 ROH786451:ROI786454 RYD786451:RYE786454 SHZ786451:SIA786454 SRV786451:SRW786454 TBR786451:TBS786454 TLN786451:TLO786454 TVJ786451:TVK786454 UFF786451:UFG786454 UPB786451:UPC786454 UYX786451:UYY786454 VIT786451:VIU786454 VSP786451:VSQ786454 WCL786451:WCM786454 WMH786451:WMI786454 WWD786451:WWE786454 V851987:W851990 JR851987:JS851990 TN851987:TO851990 ADJ851987:ADK851990 ANF851987:ANG851990 AXB851987:AXC851990 BGX851987:BGY851990 BQT851987:BQU851990 CAP851987:CAQ851990 CKL851987:CKM851990 CUH851987:CUI851990 DED851987:DEE851990 DNZ851987:DOA851990 DXV851987:DXW851990 EHR851987:EHS851990 ERN851987:ERO851990 FBJ851987:FBK851990 FLF851987:FLG851990 FVB851987:FVC851990 GEX851987:GEY851990 GOT851987:GOU851990 GYP851987:GYQ851990 HIL851987:HIM851990 HSH851987:HSI851990 ICD851987:ICE851990 ILZ851987:IMA851990 IVV851987:IVW851990 JFR851987:JFS851990 JPN851987:JPO851990 JZJ851987:JZK851990 KJF851987:KJG851990 KTB851987:KTC851990 LCX851987:LCY851990 LMT851987:LMU851990 LWP851987:LWQ851990 MGL851987:MGM851990 MQH851987:MQI851990 NAD851987:NAE851990 NJZ851987:NKA851990 NTV851987:NTW851990 ODR851987:ODS851990 ONN851987:ONO851990 OXJ851987:OXK851990 PHF851987:PHG851990 PRB851987:PRC851990 QAX851987:QAY851990 QKT851987:QKU851990 QUP851987:QUQ851990 REL851987:REM851990 ROH851987:ROI851990 RYD851987:RYE851990 SHZ851987:SIA851990 SRV851987:SRW851990 TBR851987:TBS851990 TLN851987:TLO851990 TVJ851987:TVK851990 UFF851987:UFG851990 UPB851987:UPC851990 UYX851987:UYY851990 VIT851987:VIU851990 VSP851987:VSQ851990 WCL851987:WCM851990 WMH851987:WMI851990 WWD851987:WWE851990 V917523:W917526 JR917523:JS917526 TN917523:TO917526 ADJ917523:ADK917526 ANF917523:ANG917526 AXB917523:AXC917526 BGX917523:BGY917526 BQT917523:BQU917526 CAP917523:CAQ917526 CKL917523:CKM917526 CUH917523:CUI917526 DED917523:DEE917526 DNZ917523:DOA917526 DXV917523:DXW917526 EHR917523:EHS917526 ERN917523:ERO917526 FBJ917523:FBK917526 FLF917523:FLG917526 FVB917523:FVC917526 GEX917523:GEY917526 GOT917523:GOU917526 GYP917523:GYQ917526 HIL917523:HIM917526 HSH917523:HSI917526 ICD917523:ICE917526 ILZ917523:IMA917526 IVV917523:IVW917526 JFR917523:JFS917526 JPN917523:JPO917526 JZJ917523:JZK917526 KJF917523:KJG917526 KTB917523:KTC917526 LCX917523:LCY917526 LMT917523:LMU917526 LWP917523:LWQ917526 MGL917523:MGM917526 MQH917523:MQI917526 NAD917523:NAE917526 NJZ917523:NKA917526 NTV917523:NTW917526 ODR917523:ODS917526 ONN917523:ONO917526 OXJ917523:OXK917526 PHF917523:PHG917526 PRB917523:PRC917526 QAX917523:QAY917526 QKT917523:QKU917526 QUP917523:QUQ917526 REL917523:REM917526 ROH917523:ROI917526 RYD917523:RYE917526 SHZ917523:SIA917526 SRV917523:SRW917526 TBR917523:TBS917526 TLN917523:TLO917526 TVJ917523:TVK917526 UFF917523:UFG917526 UPB917523:UPC917526 UYX917523:UYY917526 VIT917523:VIU917526 VSP917523:VSQ917526 WCL917523:WCM917526 WMH917523:WMI917526 WWD917523:WWE917526 V983059:W983062 JR983059:JS983062 TN983059:TO983062 ADJ983059:ADK983062 ANF983059:ANG983062 AXB983059:AXC983062 BGX983059:BGY983062 BQT983059:BQU983062 CAP983059:CAQ983062 CKL983059:CKM983062 CUH983059:CUI983062 DED983059:DEE983062 DNZ983059:DOA983062 DXV983059:DXW983062 EHR983059:EHS983062 ERN983059:ERO983062 FBJ983059:FBK983062 FLF983059:FLG983062 FVB983059:FVC983062 GEX983059:GEY983062 GOT983059:GOU983062 GYP983059:GYQ983062 HIL983059:HIM983062 HSH983059:HSI983062 ICD983059:ICE983062 ILZ983059:IMA983062 IVV983059:IVW983062 JFR983059:JFS983062 JPN983059:JPO983062 JZJ983059:JZK983062 KJF983059:KJG983062 KTB983059:KTC983062 LCX983059:LCY983062 LMT983059:LMU983062 LWP983059:LWQ983062 MGL983059:MGM983062 MQH983059:MQI983062 NAD983059:NAE983062 NJZ983059:NKA983062 NTV983059:NTW983062 ODR983059:ODS983062 ONN983059:ONO983062 OXJ983059:OXK983062 PHF983059:PHG983062 PRB983059:PRC983062 QAX983059:QAY983062 QKT983059:QKU983062 QUP983059:QUQ983062 REL983059:REM983062 ROH983059:ROI983062 RYD983059:RYE983062 SHZ983059:SIA983062 SRV983059:SRW983062 TBR983059:TBS983062 TLN983059:TLO983062 TVJ983059:TVK983062 UFF983059:UFG983062 UPB983059:UPC983062 UYX983059:UYY983062 VIT983059:VIU983062 VSP983059:VSQ983062 WCL983059:WCM983062 WMH983059:WMI983062 WWD983059:WWE983062" xr:uid="{515F56BC-4891-429D-9048-9ACC144FEAA3}">
      <formula1>"日勤,夜勤,2交替,3交替"</formula1>
    </dataValidation>
    <dataValidation type="list" allowBlank="1" showInputMessage="1" showErrorMessage="1" sqref="V27:W30" xr:uid="{3359701F-6E77-432C-9C6D-F956AC333D30}">
      <formula1>"13000円"</formula1>
    </dataValidation>
    <dataValidation type="list" allowBlank="1" showInputMessage="1" showErrorMessage="1" sqref="D4:I4" xr:uid="{453F59D0-8141-41AD-9EA0-E2D50E49A5B3}">
      <formula1>"再新規,新規,既存,再契約"</formula1>
    </dataValidation>
  </dataValidations>
  <pageMargins left="0.7" right="0.7" top="0.75" bottom="0.75" header="0.3" footer="0.3"/>
  <pageSetup paperSize="9" scale="6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1C948B9-EB12-429B-BAB7-3DAAD95E98FD}">
          <x14:formula1>
            <xm:f>リスト!$B$3:$B$27</xm:f>
          </x14:formula1>
          <xm:sqref>N14:R14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EB37-75EF-4A4C-B025-91DBFA637A5C}">
  <sheetPr>
    <tabColor rgb="FFFF0000"/>
    <pageSetUpPr fitToPage="1"/>
  </sheetPr>
  <dimension ref="A1:K441"/>
  <sheetViews>
    <sheetView view="pageBreakPreview" topLeftCell="A111" zoomScale="85" zoomScaleNormal="55" zoomScaleSheetLayoutView="85" workbookViewId="0">
      <selection activeCell="B120" sqref="B120"/>
    </sheetView>
  </sheetViews>
  <sheetFormatPr defaultColWidth="9" defaultRowHeight="27" customHeight="1"/>
  <cols>
    <col min="1" max="1" width="9.83203125" style="35" bestFit="1" customWidth="1"/>
    <col min="2" max="2" width="48.83203125" style="35" customWidth="1"/>
    <col min="3" max="9" width="12.08203125" style="36" customWidth="1"/>
    <col min="10" max="10" width="12.08203125" style="37" customWidth="1"/>
    <col min="11" max="11" width="12.08203125" style="36" customWidth="1"/>
    <col min="12" max="16384" width="9" style="35"/>
  </cols>
  <sheetData>
    <row r="1" spans="1:11" ht="30" customHeight="1" thickBot="1">
      <c r="A1" s="100" t="s">
        <v>551</v>
      </c>
      <c r="B1" s="100"/>
      <c r="C1" s="100"/>
      <c r="D1" s="100"/>
      <c r="E1" s="100"/>
      <c r="F1" s="100"/>
      <c r="G1" s="100"/>
      <c r="H1" s="100"/>
      <c r="I1" s="100"/>
      <c r="J1" s="99"/>
      <c r="K1" s="98" t="s">
        <v>550</v>
      </c>
    </row>
    <row r="2" spans="1:11" ht="14.25" customHeight="1"/>
    <row r="3" spans="1:11" s="38" customFormat="1" ht="29.25" customHeight="1">
      <c r="A3" s="45">
        <v>201</v>
      </c>
      <c r="B3" s="45" t="s">
        <v>549</v>
      </c>
      <c r="C3" s="59">
        <v>1684</v>
      </c>
      <c r="D3" s="58">
        <v>1916</v>
      </c>
      <c r="E3" s="57">
        <v>2051</v>
      </c>
      <c r="F3" s="56">
        <v>2102</v>
      </c>
      <c r="G3" s="57">
        <v>2250</v>
      </c>
      <c r="H3" s="56">
        <v>2403</v>
      </c>
      <c r="I3" s="55">
        <v>2987</v>
      </c>
      <c r="J3" s="96" t="s">
        <v>639</v>
      </c>
      <c r="K3" s="96">
        <v>1949</v>
      </c>
    </row>
    <row r="4" spans="1:11" s="38" customFormat="1" ht="29.25" customHeight="1">
      <c r="A4" s="66">
        <v>299</v>
      </c>
      <c r="B4" s="45" t="s">
        <v>548</v>
      </c>
      <c r="C4" s="65">
        <v>1554</v>
      </c>
      <c r="D4" s="64">
        <v>1768</v>
      </c>
      <c r="E4" s="63">
        <v>1893</v>
      </c>
      <c r="F4" s="62">
        <v>1939</v>
      </c>
      <c r="G4" s="63">
        <v>2076</v>
      </c>
      <c r="H4" s="62">
        <v>2218</v>
      </c>
      <c r="I4" s="61">
        <v>2757</v>
      </c>
      <c r="J4" s="97">
        <v>1563</v>
      </c>
      <c r="K4" s="97">
        <v>1748</v>
      </c>
    </row>
    <row r="5" spans="1:11" s="38" customFormat="1" ht="29.25" customHeight="1">
      <c r="A5" s="45">
        <v>301</v>
      </c>
      <c r="B5" s="45" t="s">
        <v>547</v>
      </c>
      <c r="C5" s="59">
        <v>1334</v>
      </c>
      <c r="D5" s="58">
        <v>1518</v>
      </c>
      <c r="E5" s="57">
        <v>1625</v>
      </c>
      <c r="F5" s="56">
        <v>1665</v>
      </c>
      <c r="G5" s="57">
        <v>1782</v>
      </c>
      <c r="H5" s="56">
        <v>1904</v>
      </c>
      <c r="I5" s="55">
        <v>2367</v>
      </c>
      <c r="J5" s="54" t="s">
        <v>639</v>
      </c>
      <c r="K5" s="96">
        <v>1529</v>
      </c>
    </row>
    <row r="6" spans="1:11" s="38" customFormat="1" ht="29.25" customHeight="1">
      <c r="A6" s="66">
        <v>399</v>
      </c>
      <c r="B6" s="45" t="s">
        <v>546</v>
      </c>
      <c r="C6" s="65">
        <v>1447</v>
      </c>
      <c r="D6" s="64">
        <v>1647</v>
      </c>
      <c r="E6" s="63">
        <v>1762</v>
      </c>
      <c r="F6" s="62">
        <v>1806</v>
      </c>
      <c r="G6" s="63">
        <v>1933</v>
      </c>
      <c r="H6" s="62">
        <v>2065</v>
      </c>
      <c r="I6" s="61">
        <v>2567</v>
      </c>
      <c r="J6" s="60" t="s">
        <v>639</v>
      </c>
      <c r="K6" s="60">
        <v>1665</v>
      </c>
    </row>
    <row r="7" spans="1:11" s="38" customFormat="1" ht="29.25" customHeight="1">
      <c r="A7" s="45">
        <v>401</v>
      </c>
      <c r="B7" s="45" t="s">
        <v>545</v>
      </c>
      <c r="C7" s="59">
        <v>1357</v>
      </c>
      <c r="D7" s="58">
        <v>1544</v>
      </c>
      <c r="E7" s="57">
        <v>1653</v>
      </c>
      <c r="F7" s="56">
        <v>1694</v>
      </c>
      <c r="G7" s="57">
        <v>1813</v>
      </c>
      <c r="H7" s="56">
        <v>1936</v>
      </c>
      <c r="I7" s="55">
        <v>2407</v>
      </c>
      <c r="J7" s="54" t="s">
        <v>639</v>
      </c>
      <c r="K7" s="54">
        <v>1627</v>
      </c>
    </row>
    <row r="8" spans="1:11" s="38" customFormat="1" ht="29.25" customHeight="1">
      <c r="A8" s="53">
        <v>402</v>
      </c>
      <c r="B8" s="45" t="s">
        <v>544</v>
      </c>
      <c r="C8" s="52" t="s">
        <v>111</v>
      </c>
      <c r="D8" s="51" t="s">
        <v>111</v>
      </c>
      <c r="E8" s="50" t="s">
        <v>111</v>
      </c>
      <c r="F8" s="49" t="s">
        <v>111</v>
      </c>
      <c r="G8" s="50" t="s">
        <v>111</v>
      </c>
      <c r="H8" s="49" t="s">
        <v>111</v>
      </c>
      <c r="I8" s="48" t="s">
        <v>111</v>
      </c>
      <c r="J8" s="47" t="s">
        <v>639</v>
      </c>
      <c r="K8" s="47" t="s">
        <v>111</v>
      </c>
    </row>
    <row r="9" spans="1:11" s="38" customFormat="1" ht="29.25" customHeight="1">
      <c r="A9" s="80">
        <v>501</v>
      </c>
      <c r="B9" s="45" t="s">
        <v>543</v>
      </c>
      <c r="C9" s="79">
        <v>1152</v>
      </c>
      <c r="D9" s="78">
        <v>1311</v>
      </c>
      <c r="E9" s="77">
        <v>1403</v>
      </c>
      <c r="F9" s="76">
        <v>1438</v>
      </c>
      <c r="G9" s="77">
        <v>1539</v>
      </c>
      <c r="H9" s="76">
        <v>1644</v>
      </c>
      <c r="I9" s="75">
        <v>2044</v>
      </c>
      <c r="J9" s="74" t="s">
        <v>639</v>
      </c>
      <c r="K9" s="74">
        <v>1348</v>
      </c>
    </row>
    <row r="10" spans="1:11" s="38" customFormat="1" ht="29.25" customHeight="1">
      <c r="A10" s="45">
        <v>601</v>
      </c>
      <c r="B10" s="45" t="s">
        <v>542</v>
      </c>
      <c r="C10" s="59">
        <v>1256</v>
      </c>
      <c r="D10" s="58">
        <v>1429</v>
      </c>
      <c r="E10" s="57">
        <v>1530</v>
      </c>
      <c r="F10" s="56">
        <v>1567</v>
      </c>
      <c r="G10" s="57">
        <v>1678</v>
      </c>
      <c r="H10" s="56">
        <v>1792</v>
      </c>
      <c r="I10" s="55">
        <v>2228</v>
      </c>
      <c r="J10" s="54" t="s">
        <v>639</v>
      </c>
      <c r="K10" s="54">
        <v>1471</v>
      </c>
    </row>
    <row r="11" spans="1:11" s="38" customFormat="1" ht="44.25" customHeight="1">
      <c r="A11" s="89">
        <v>602</v>
      </c>
      <c r="B11" s="45" t="s">
        <v>541</v>
      </c>
      <c r="C11" s="52">
        <v>1400</v>
      </c>
      <c r="D11" s="51">
        <v>1593</v>
      </c>
      <c r="E11" s="50">
        <v>1705</v>
      </c>
      <c r="F11" s="49">
        <v>1747</v>
      </c>
      <c r="G11" s="50">
        <v>1870</v>
      </c>
      <c r="H11" s="49">
        <v>1998</v>
      </c>
      <c r="I11" s="48">
        <v>2484</v>
      </c>
      <c r="J11" s="47" t="s">
        <v>639</v>
      </c>
      <c r="K11" s="47">
        <v>1820</v>
      </c>
    </row>
    <row r="12" spans="1:11" s="38" customFormat="1" ht="29.25" customHeight="1">
      <c r="A12" s="53">
        <v>603</v>
      </c>
      <c r="B12" s="45" t="s">
        <v>540</v>
      </c>
      <c r="C12" s="52">
        <v>1350</v>
      </c>
      <c r="D12" s="51">
        <v>1536</v>
      </c>
      <c r="E12" s="50">
        <v>1644</v>
      </c>
      <c r="F12" s="49">
        <v>1685</v>
      </c>
      <c r="G12" s="50">
        <v>1804</v>
      </c>
      <c r="H12" s="49">
        <v>1926</v>
      </c>
      <c r="I12" s="48">
        <v>2395</v>
      </c>
      <c r="J12" s="47" t="s">
        <v>639</v>
      </c>
      <c r="K12" s="47">
        <v>1745</v>
      </c>
    </row>
    <row r="13" spans="1:11" s="38" customFormat="1" ht="29.25" customHeight="1">
      <c r="A13" s="53">
        <v>604</v>
      </c>
      <c r="B13" s="45" t="s">
        <v>539</v>
      </c>
      <c r="C13" s="52">
        <v>1364</v>
      </c>
      <c r="D13" s="51">
        <v>1552</v>
      </c>
      <c r="E13" s="50">
        <v>1661</v>
      </c>
      <c r="F13" s="49">
        <v>1702</v>
      </c>
      <c r="G13" s="50">
        <v>1822</v>
      </c>
      <c r="H13" s="49">
        <v>1946</v>
      </c>
      <c r="I13" s="48">
        <v>2420</v>
      </c>
      <c r="J13" s="47" t="s">
        <v>639</v>
      </c>
      <c r="K13" s="47">
        <v>1784</v>
      </c>
    </row>
    <row r="14" spans="1:11" s="38" customFormat="1" ht="29.25" customHeight="1">
      <c r="A14" s="53">
        <v>605</v>
      </c>
      <c r="B14" s="45" t="s">
        <v>538</v>
      </c>
      <c r="C14" s="52">
        <v>1184</v>
      </c>
      <c r="D14" s="51">
        <v>1347</v>
      </c>
      <c r="E14" s="50">
        <v>1442</v>
      </c>
      <c r="F14" s="49">
        <v>1478</v>
      </c>
      <c r="G14" s="50">
        <v>1582</v>
      </c>
      <c r="H14" s="49">
        <v>1690</v>
      </c>
      <c r="I14" s="48">
        <v>2100</v>
      </c>
      <c r="J14" s="47">
        <v>1192</v>
      </c>
      <c r="K14" s="47">
        <v>1501</v>
      </c>
    </row>
    <row r="15" spans="1:11" s="38" customFormat="1" ht="29.25" customHeight="1">
      <c r="A15" s="53">
        <v>606</v>
      </c>
      <c r="B15" s="45" t="s">
        <v>537</v>
      </c>
      <c r="C15" s="52">
        <v>1301</v>
      </c>
      <c r="D15" s="51">
        <v>1481</v>
      </c>
      <c r="E15" s="50">
        <v>1585</v>
      </c>
      <c r="F15" s="49">
        <v>1624</v>
      </c>
      <c r="G15" s="50">
        <v>1738</v>
      </c>
      <c r="H15" s="49">
        <v>1857</v>
      </c>
      <c r="I15" s="48">
        <v>2308</v>
      </c>
      <c r="J15" s="47" t="s">
        <v>639</v>
      </c>
      <c r="K15" s="47">
        <v>1589</v>
      </c>
    </row>
    <row r="16" spans="1:11" s="38" customFormat="1" ht="29.25" customHeight="1">
      <c r="A16" s="53">
        <v>607</v>
      </c>
      <c r="B16" s="45" t="s">
        <v>536</v>
      </c>
      <c r="C16" s="52">
        <v>1355</v>
      </c>
      <c r="D16" s="51">
        <v>1542</v>
      </c>
      <c r="E16" s="50">
        <v>1650</v>
      </c>
      <c r="F16" s="49">
        <v>1691</v>
      </c>
      <c r="G16" s="50">
        <v>1810</v>
      </c>
      <c r="H16" s="49">
        <v>1934</v>
      </c>
      <c r="I16" s="48">
        <v>2404</v>
      </c>
      <c r="J16" s="47" t="s">
        <v>639</v>
      </c>
      <c r="K16" s="47">
        <v>1637</v>
      </c>
    </row>
    <row r="17" spans="1:11" s="38" customFormat="1" ht="29.25" customHeight="1">
      <c r="A17" s="66">
        <v>699</v>
      </c>
      <c r="B17" s="45" t="s">
        <v>535</v>
      </c>
      <c r="C17" s="65">
        <v>1339</v>
      </c>
      <c r="D17" s="64">
        <v>1524</v>
      </c>
      <c r="E17" s="63">
        <v>1631</v>
      </c>
      <c r="F17" s="62">
        <v>1671</v>
      </c>
      <c r="G17" s="63">
        <v>1789</v>
      </c>
      <c r="H17" s="62">
        <v>1911</v>
      </c>
      <c r="I17" s="61">
        <v>2375</v>
      </c>
      <c r="J17" s="60" t="s">
        <v>639</v>
      </c>
      <c r="K17" s="60">
        <v>1636</v>
      </c>
    </row>
    <row r="18" spans="1:11" s="38" customFormat="1" ht="29.25" customHeight="1">
      <c r="A18" s="45">
        <v>701</v>
      </c>
      <c r="B18" s="45" t="s">
        <v>534</v>
      </c>
      <c r="C18" s="59">
        <v>1229</v>
      </c>
      <c r="D18" s="58">
        <v>1399</v>
      </c>
      <c r="E18" s="57">
        <v>1497</v>
      </c>
      <c r="F18" s="56">
        <v>1534</v>
      </c>
      <c r="G18" s="57">
        <v>1642</v>
      </c>
      <c r="H18" s="56">
        <v>1754</v>
      </c>
      <c r="I18" s="55">
        <v>2180</v>
      </c>
      <c r="J18" s="54" t="s">
        <v>639</v>
      </c>
      <c r="K18" s="54">
        <v>1409</v>
      </c>
    </row>
    <row r="19" spans="1:11" s="38" customFormat="1" ht="44.25" customHeight="1">
      <c r="A19" s="89">
        <v>702</v>
      </c>
      <c r="B19" s="45" t="s">
        <v>533</v>
      </c>
      <c r="C19" s="52">
        <v>1336</v>
      </c>
      <c r="D19" s="51">
        <v>1520</v>
      </c>
      <c r="E19" s="50">
        <v>1627</v>
      </c>
      <c r="F19" s="49">
        <v>1667</v>
      </c>
      <c r="G19" s="50">
        <v>1785</v>
      </c>
      <c r="H19" s="49">
        <v>1906</v>
      </c>
      <c r="I19" s="48">
        <v>2370</v>
      </c>
      <c r="J19" s="47" t="s">
        <v>639</v>
      </c>
      <c r="K19" s="47">
        <v>1653</v>
      </c>
    </row>
    <row r="20" spans="1:11" s="38" customFormat="1" ht="29.25" customHeight="1">
      <c r="A20" s="53">
        <v>703</v>
      </c>
      <c r="B20" s="45" t="s">
        <v>532</v>
      </c>
      <c r="C20" s="52">
        <v>1426</v>
      </c>
      <c r="D20" s="51">
        <v>1623</v>
      </c>
      <c r="E20" s="50">
        <v>1737</v>
      </c>
      <c r="F20" s="49">
        <v>1780</v>
      </c>
      <c r="G20" s="50">
        <v>1905</v>
      </c>
      <c r="H20" s="49">
        <v>2035</v>
      </c>
      <c r="I20" s="48">
        <v>2530</v>
      </c>
      <c r="J20" s="47" t="s">
        <v>639</v>
      </c>
      <c r="K20" s="47">
        <v>1865</v>
      </c>
    </row>
    <row r="21" spans="1:11" s="38" customFormat="1" ht="29.25" customHeight="1">
      <c r="A21" s="53">
        <v>704</v>
      </c>
      <c r="B21" s="45" t="s">
        <v>531</v>
      </c>
      <c r="C21" s="52">
        <v>1279</v>
      </c>
      <c r="D21" s="51">
        <v>1456</v>
      </c>
      <c r="E21" s="50">
        <v>1558</v>
      </c>
      <c r="F21" s="49">
        <v>1596</v>
      </c>
      <c r="G21" s="50">
        <v>1709</v>
      </c>
      <c r="H21" s="49">
        <v>1825</v>
      </c>
      <c r="I21" s="48">
        <v>2269</v>
      </c>
      <c r="J21" s="47" t="s">
        <v>639</v>
      </c>
      <c r="K21" s="47">
        <v>1623</v>
      </c>
    </row>
    <row r="22" spans="1:11" s="38" customFormat="1" ht="29.25" customHeight="1">
      <c r="A22" s="53">
        <v>705</v>
      </c>
      <c r="B22" s="45" t="s">
        <v>530</v>
      </c>
      <c r="C22" s="52">
        <v>1267</v>
      </c>
      <c r="D22" s="51">
        <v>1442</v>
      </c>
      <c r="E22" s="50">
        <v>1543</v>
      </c>
      <c r="F22" s="49">
        <v>1581</v>
      </c>
      <c r="G22" s="50">
        <v>1693</v>
      </c>
      <c r="H22" s="49">
        <v>1808</v>
      </c>
      <c r="I22" s="48">
        <v>2248</v>
      </c>
      <c r="J22" s="47" t="s">
        <v>639</v>
      </c>
      <c r="K22" s="47">
        <v>1577</v>
      </c>
    </row>
    <row r="23" spans="1:11" s="38" customFormat="1" ht="29.25" customHeight="1">
      <c r="A23" s="53">
        <v>706</v>
      </c>
      <c r="B23" s="45" t="s">
        <v>529</v>
      </c>
      <c r="C23" s="52">
        <v>1215</v>
      </c>
      <c r="D23" s="51">
        <v>1383</v>
      </c>
      <c r="E23" s="50">
        <v>1480</v>
      </c>
      <c r="F23" s="49">
        <v>1516</v>
      </c>
      <c r="G23" s="50">
        <v>1623</v>
      </c>
      <c r="H23" s="49">
        <v>1734</v>
      </c>
      <c r="I23" s="48">
        <v>2155</v>
      </c>
      <c r="J23" s="47" t="s">
        <v>639</v>
      </c>
      <c r="K23" s="47">
        <v>1492</v>
      </c>
    </row>
    <row r="24" spans="1:11" s="38" customFormat="1" ht="29.25" customHeight="1">
      <c r="A24" s="53">
        <v>707</v>
      </c>
      <c r="B24" s="45" t="s">
        <v>528</v>
      </c>
      <c r="C24" s="52">
        <v>1238</v>
      </c>
      <c r="D24" s="51">
        <v>1409</v>
      </c>
      <c r="E24" s="50">
        <v>1508</v>
      </c>
      <c r="F24" s="49">
        <v>1545</v>
      </c>
      <c r="G24" s="50">
        <v>1654</v>
      </c>
      <c r="H24" s="49">
        <v>1767</v>
      </c>
      <c r="I24" s="48">
        <v>2196</v>
      </c>
      <c r="J24" s="47" t="s">
        <v>639</v>
      </c>
      <c r="K24" s="47">
        <v>1501</v>
      </c>
    </row>
    <row r="25" spans="1:11" s="38" customFormat="1" ht="29.25" customHeight="1">
      <c r="A25" s="53">
        <v>708</v>
      </c>
      <c r="B25" s="45" t="s">
        <v>527</v>
      </c>
      <c r="C25" s="52">
        <v>1264</v>
      </c>
      <c r="D25" s="51">
        <v>1438</v>
      </c>
      <c r="E25" s="50">
        <v>1540</v>
      </c>
      <c r="F25" s="49">
        <v>1577</v>
      </c>
      <c r="G25" s="50">
        <v>1689</v>
      </c>
      <c r="H25" s="49">
        <v>1804</v>
      </c>
      <c r="I25" s="48">
        <v>2242</v>
      </c>
      <c r="J25" s="47" t="s">
        <v>639</v>
      </c>
      <c r="K25" s="47">
        <v>1513</v>
      </c>
    </row>
    <row r="26" spans="1:11" s="38" customFormat="1" ht="29.25" customHeight="1">
      <c r="A26" s="66">
        <v>799</v>
      </c>
      <c r="B26" s="45" t="s">
        <v>526</v>
      </c>
      <c r="C26" s="65">
        <v>1238</v>
      </c>
      <c r="D26" s="64">
        <v>1409</v>
      </c>
      <c r="E26" s="63">
        <v>1508</v>
      </c>
      <c r="F26" s="62">
        <v>1545</v>
      </c>
      <c r="G26" s="63">
        <v>1654</v>
      </c>
      <c r="H26" s="62">
        <v>1767</v>
      </c>
      <c r="I26" s="61">
        <v>2196</v>
      </c>
      <c r="J26" s="60" t="s">
        <v>639</v>
      </c>
      <c r="K26" s="60">
        <v>1479</v>
      </c>
    </row>
    <row r="27" spans="1:11" s="38" customFormat="1" ht="29.25" customHeight="1">
      <c r="A27" s="45">
        <v>801</v>
      </c>
      <c r="B27" s="45" t="s">
        <v>525</v>
      </c>
      <c r="C27" s="59">
        <v>1472</v>
      </c>
      <c r="D27" s="58">
        <v>1675</v>
      </c>
      <c r="E27" s="57">
        <v>1793</v>
      </c>
      <c r="F27" s="56">
        <v>1837</v>
      </c>
      <c r="G27" s="57">
        <v>1967</v>
      </c>
      <c r="H27" s="56">
        <v>2101</v>
      </c>
      <c r="I27" s="55">
        <v>2611</v>
      </c>
      <c r="J27" s="54" t="s">
        <v>639</v>
      </c>
      <c r="K27" s="54">
        <v>1941</v>
      </c>
    </row>
    <row r="28" spans="1:11" s="38" customFormat="1" ht="29.25" customHeight="1">
      <c r="A28" s="53">
        <v>802</v>
      </c>
      <c r="B28" s="45" t="s">
        <v>524</v>
      </c>
      <c r="C28" s="52">
        <v>1503</v>
      </c>
      <c r="D28" s="51">
        <v>1710</v>
      </c>
      <c r="E28" s="50">
        <v>1831</v>
      </c>
      <c r="F28" s="49">
        <v>1876</v>
      </c>
      <c r="G28" s="50">
        <v>2008</v>
      </c>
      <c r="H28" s="49">
        <v>2145</v>
      </c>
      <c r="I28" s="48">
        <v>2666</v>
      </c>
      <c r="J28" s="47" t="s">
        <v>639</v>
      </c>
      <c r="K28" s="47">
        <v>1959</v>
      </c>
    </row>
    <row r="29" spans="1:11" s="38" customFormat="1" ht="29.25" customHeight="1">
      <c r="A29" s="53">
        <v>803</v>
      </c>
      <c r="B29" s="45" t="s">
        <v>523</v>
      </c>
      <c r="C29" s="52">
        <v>1399</v>
      </c>
      <c r="D29" s="51">
        <v>1592</v>
      </c>
      <c r="E29" s="50">
        <v>1704</v>
      </c>
      <c r="F29" s="49">
        <v>1746</v>
      </c>
      <c r="G29" s="50">
        <v>1869</v>
      </c>
      <c r="H29" s="49">
        <v>1996</v>
      </c>
      <c r="I29" s="48">
        <v>2482</v>
      </c>
      <c r="J29" s="47" t="s">
        <v>639</v>
      </c>
      <c r="K29" s="47">
        <v>1808</v>
      </c>
    </row>
    <row r="30" spans="1:11" s="38" customFormat="1" ht="29.25" customHeight="1">
      <c r="A30" s="53">
        <v>804</v>
      </c>
      <c r="B30" s="45" t="s">
        <v>522</v>
      </c>
      <c r="C30" s="52">
        <v>1542</v>
      </c>
      <c r="D30" s="51">
        <v>1755</v>
      </c>
      <c r="E30" s="50">
        <v>1878</v>
      </c>
      <c r="F30" s="49">
        <v>1924</v>
      </c>
      <c r="G30" s="50">
        <v>2060</v>
      </c>
      <c r="H30" s="49">
        <v>2200</v>
      </c>
      <c r="I30" s="48">
        <v>2736</v>
      </c>
      <c r="J30" s="47" t="s">
        <v>639</v>
      </c>
      <c r="K30" s="47">
        <v>2044</v>
      </c>
    </row>
    <row r="31" spans="1:11" s="38" customFormat="1" ht="29.25" customHeight="1">
      <c r="A31" s="53">
        <v>805</v>
      </c>
      <c r="B31" s="45" t="s">
        <v>521</v>
      </c>
      <c r="C31" s="52">
        <v>1621</v>
      </c>
      <c r="D31" s="51">
        <v>1845</v>
      </c>
      <c r="E31" s="50">
        <v>1974</v>
      </c>
      <c r="F31" s="49">
        <v>2023</v>
      </c>
      <c r="G31" s="50">
        <v>2166</v>
      </c>
      <c r="H31" s="49">
        <v>2313</v>
      </c>
      <c r="I31" s="48">
        <v>2876</v>
      </c>
      <c r="J31" s="47" t="s">
        <v>639</v>
      </c>
      <c r="K31" s="47">
        <v>2044</v>
      </c>
    </row>
    <row r="32" spans="1:11" s="38" customFormat="1" ht="29.25" customHeight="1">
      <c r="A32" s="53">
        <v>806</v>
      </c>
      <c r="B32" s="45" t="s">
        <v>520</v>
      </c>
      <c r="C32" s="52">
        <v>1587</v>
      </c>
      <c r="D32" s="51">
        <v>1806</v>
      </c>
      <c r="E32" s="50">
        <v>1933</v>
      </c>
      <c r="F32" s="49">
        <v>1981</v>
      </c>
      <c r="G32" s="50">
        <v>2120</v>
      </c>
      <c r="H32" s="49">
        <v>2265</v>
      </c>
      <c r="I32" s="48">
        <v>2815</v>
      </c>
      <c r="J32" s="47" t="s">
        <v>639</v>
      </c>
      <c r="K32" s="47">
        <v>1997</v>
      </c>
    </row>
    <row r="33" spans="1:11" s="38" customFormat="1" ht="29.25" customHeight="1" thickBot="1">
      <c r="A33" s="53">
        <v>807</v>
      </c>
      <c r="B33" s="45" t="s">
        <v>519</v>
      </c>
      <c r="C33" s="52">
        <v>1288</v>
      </c>
      <c r="D33" s="51">
        <v>1466</v>
      </c>
      <c r="E33" s="50">
        <v>1569</v>
      </c>
      <c r="F33" s="49">
        <v>1607</v>
      </c>
      <c r="G33" s="50">
        <v>1721</v>
      </c>
      <c r="H33" s="49">
        <v>1838</v>
      </c>
      <c r="I33" s="48">
        <v>2285</v>
      </c>
      <c r="J33" s="47" t="s">
        <v>639</v>
      </c>
      <c r="K33" s="47">
        <v>1665</v>
      </c>
    </row>
    <row r="34" spans="1:11" s="38" customFormat="1" ht="29.25" customHeight="1">
      <c r="A34" s="95">
        <v>901</v>
      </c>
      <c r="B34" s="45" t="s">
        <v>518</v>
      </c>
      <c r="C34" s="86">
        <v>1496</v>
      </c>
      <c r="D34" s="85">
        <v>1702</v>
      </c>
      <c r="E34" s="84">
        <v>1822</v>
      </c>
      <c r="F34" s="83">
        <v>1867</v>
      </c>
      <c r="G34" s="84">
        <v>1999</v>
      </c>
      <c r="H34" s="83">
        <v>2135</v>
      </c>
      <c r="I34" s="82">
        <v>2654</v>
      </c>
      <c r="J34" s="81" t="s">
        <v>639</v>
      </c>
      <c r="K34" s="81">
        <v>2062</v>
      </c>
    </row>
    <row r="35" spans="1:11" s="38" customFormat="1" ht="29.25" customHeight="1">
      <c r="A35" s="53">
        <v>902</v>
      </c>
      <c r="B35" s="45" t="s">
        <v>517</v>
      </c>
      <c r="C35" s="52">
        <v>1484</v>
      </c>
      <c r="D35" s="51">
        <v>1689</v>
      </c>
      <c r="E35" s="50">
        <v>1808</v>
      </c>
      <c r="F35" s="49">
        <v>1852</v>
      </c>
      <c r="G35" s="50">
        <v>1983</v>
      </c>
      <c r="H35" s="49">
        <v>2118</v>
      </c>
      <c r="I35" s="48">
        <v>2633</v>
      </c>
      <c r="J35" s="47" t="s">
        <v>639</v>
      </c>
      <c r="K35" s="47">
        <v>2016</v>
      </c>
    </row>
    <row r="36" spans="1:11" s="38" customFormat="1" ht="29.25" customHeight="1">
      <c r="A36" s="53">
        <v>903</v>
      </c>
      <c r="B36" s="45" t="s">
        <v>516</v>
      </c>
      <c r="C36" s="52">
        <v>1412</v>
      </c>
      <c r="D36" s="51">
        <v>1607</v>
      </c>
      <c r="E36" s="50">
        <v>1720</v>
      </c>
      <c r="F36" s="49">
        <v>1762</v>
      </c>
      <c r="G36" s="50">
        <v>1886</v>
      </c>
      <c r="H36" s="49">
        <v>2015</v>
      </c>
      <c r="I36" s="48">
        <v>2505</v>
      </c>
      <c r="J36" s="47" t="s">
        <v>639</v>
      </c>
      <c r="K36" s="47">
        <v>1926</v>
      </c>
    </row>
    <row r="37" spans="1:11" s="38" customFormat="1" ht="29.25" customHeight="1" thickBot="1">
      <c r="A37" s="46">
        <v>999</v>
      </c>
      <c r="B37" s="45" t="s">
        <v>515</v>
      </c>
      <c r="C37" s="44">
        <v>1471</v>
      </c>
      <c r="D37" s="43">
        <v>1674</v>
      </c>
      <c r="E37" s="42">
        <v>1792</v>
      </c>
      <c r="F37" s="41">
        <v>1836</v>
      </c>
      <c r="G37" s="42">
        <v>1965</v>
      </c>
      <c r="H37" s="41">
        <v>2099</v>
      </c>
      <c r="I37" s="40">
        <v>2610</v>
      </c>
      <c r="J37" s="39">
        <v>1483</v>
      </c>
      <c r="K37" s="39">
        <v>1917</v>
      </c>
    </row>
    <row r="38" spans="1:11" s="38" customFormat="1" ht="29.25" customHeight="1">
      <c r="A38" s="45">
        <v>1001</v>
      </c>
      <c r="B38" s="45" t="s">
        <v>514</v>
      </c>
      <c r="C38" s="59">
        <v>1499</v>
      </c>
      <c r="D38" s="58">
        <v>1706</v>
      </c>
      <c r="E38" s="57">
        <v>1826</v>
      </c>
      <c r="F38" s="56">
        <v>1871</v>
      </c>
      <c r="G38" s="57">
        <v>2003</v>
      </c>
      <c r="H38" s="56">
        <v>2139</v>
      </c>
      <c r="I38" s="55">
        <v>2659</v>
      </c>
      <c r="J38" s="54" t="s">
        <v>639</v>
      </c>
      <c r="K38" s="54">
        <v>2052</v>
      </c>
    </row>
    <row r="39" spans="1:11" s="38" customFormat="1" ht="29.25" customHeight="1">
      <c r="A39" s="53">
        <v>1002</v>
      </c>
      <c r="B39" s="45" t="s">
        <v>513</v>
      </c>
      <c r="C39" s="52">
        <v>1476</v>
      </c>
      <c r="D39" s="51">
        <v>1680</v>
      </c>
      <c r="E39" s="50">
        <v>1798</v>
      </c>
      <c r="F39" s="49">
        <v>1842</v>
      </c>
      <c r="G39" s="50">
        <v>1972</v>
      </c>
      <c r="H39" s="49">
        <v>2106</v>
      </c>
      <c r="I39" s="48">
        <v>2618</v>
      </c>
      <c r="J39" s="47" t="s">
        <v>639</v>
      </c>
      <c r="K39" s="47">
        <v>2018</v>
      </c>
    </row>
    <row r="40" spans="1:11" s="38" customFormat="1" ht="29.25" customHeight="1">
      <c r="A40" s="53">
        <v>1003</v>
      </c>
      <c r="B40" s="45" t="s">
        <v>512</v>
      </c>
      <c r="C40" s="52">
        <v>1758</v>
      </c>
      <c r="D40" s="51">
        <v>2001</v>
      </c>
      <c r="E40" s="50">
        <v>2141</v>
      </c>
      <c r="F40" s="49">
        <v>2194</v>
      </c>
      <c r="G40" s="50">
        <v>2349</v>
      </c>
      <c r="H40" s="49">
        <v>2509</v>
      </c>
      <c r="I40" s="48">
        <v>3119</v>
      </c>
      <c r="J40" s="47" t="s">
        <v>639</v>
      </c>
      <c r="K40" s="47">
        <v>2272</v>
      </c>
    </row>
    <row r="41" spans="1:11" s="38" customFormat="1" ht="29.25" customHeight="1">
      <c r="A41" s="53">
        <v>1004</v>
      </c>
      <c r="B41" s="45" t="s">
        <v>511</v>
      </c>
      <c r="C41" s="52">
        <v>1384</v>
      </c>
      <c r="D41" s="51">
        <v>1575</v>
      </c>
      <c r="E41" s="50">
        <v>1686</v>
      </c>
      <c r="F41" s="49">
        <v>1727</v>
      </c>
      <c r="G41" s="50">
        <v>1849</v>
      </c>
      <c r="H41" s="49">
        <v>1975</v>
      </c>
      <c r="I41" s="48">
        <v>2455</v>
      </c>
      <c r="J41" s="47" t="s">
        <v>639</v>
      </c>
      <c r="K41" s="47">
        <v>1833</v>
      </c>
    </row>
    <row r="42" spans="1:11" s="38" customFormat="1" ht="29.25" customHeight="1">
      <c r="A42" s="53">
        <v>1005</v>
      </c>
      <c r="B42" s="45" t="s">
        <v>510</v>
      </c>
      <c r="C42" s="52">
        <v>1312</v>
      </c>
      <c r="D42" s="51">
        <v>1493</v>
      </c>
      <c r="E42" s="50">
        <v>1598</v>
      </c>
      <c r="F42" s="49">
        <v>1637</v>
      </c>
      <c r="G42" s="50">
        <v>1753</v>
      </c>
      <c r="H42" s="49">
        <v>1872</v>
      </c>
      <c r="I42" s="48">
        <v>2327</v>
      </c>
      <c r="J42" s="47" t="s">
        <v>639</v>
      </c>
      <c r="K42" s="47">
        <v>1674</v>
      </c>
    </row>
    <row r="43" spans="1:11" s="38" customFormat="1" ht="29.25" customHeight="1">
      <c r="A43" s="53">
        <v>1006</v>
      </c>
      <c r="B43" s="45" t="s">
        <v>509</v>
      </c>
      <c r="C43" s="52">
        <v>1431</v>
      </c>
      <c r="D43" s="51">
        <v>1628</v>
      </c>
      <c r="E43" s="50">
        <v>1743</v>
      </c>
      <c r="F43" s="49">
        <v>1786</v>
      </c>
      <c r="G43" s="50">
        <v>1912</v>
      </c>
      <c r="H43" s="49">
        <v>2042</v>
      </c>
      <c r="I43" s="48">
        <v>2539</v>
      </c>
      <c r="J43" s="47" t="s">
        <v>639</v>
      </c>
      <c r="K43" s="47">
        <v>1933</v>
      </c>
    </row>
    <row r="44" spans="1:11" s="38" customFormat="1" ht="44.25" customHeight="1" thickBot="1">
      <c r="A44" s="88">
        <v>1099</v>
      </c>
      <c r="B44" s="45" t="s">
        <v>508</v>
      </c>
      <c r="C44" s="65">
        <v>1426</v>
      </c>
      <c r="D44" s="64">
        <v>1623</v>
      </c>
      <c r="E44" s="63">
        <v>1737</v>
      </c>
      <c r="F44" s="62">
        <v>1780</v>
      </c>
      <c r="G44" s="63">
        <v>1905</v>
      </c>
      <c r="H44" s="62">
        <v>2035</v>
      </c>
      <c r="I44" s="61">
        <v>2530</v>
      </c>
      <c r="J44" s="60" t="s">
        <v>639</v>
      </c>
      <c r="K44" s="60">
        <v>1907</v>
      </c>
    </row>
    <row r="45" spans="1:11" s="38" customFormat="1" ht="29.25" customHeight="1">
      <c r="A45" s="87">
        <v>1101</v>
      </c>
      <c r="B45" s="45" t="s">
        <v>507</v>
      </c>
      <c r="C45" s="86">
        <v>1204</v>
      </c>
      <c r="D45" s="85">
        <v>1370</v>
      </c>
      <c r="E45" s="84">
        <v>1466</v>
      </c>
      <c r="F45" s="83">
        <v>1503</v>
      </c>
      <c r="G45" s="84">
        <v>1609</v>
      </c>
      <c r="H45" s="83">
        <v>1718</v>
      </c>
      <c r="I45" s="82">
        <v>2136</v>
      </c>
      <c r="J45" s="81" t="s">
        <v>639</v>
      </c>
      <c r="K45" s="81">
        <v>1397</v>
      </c>
    </row>
    <row r="46" spans="1:11" s="38" customFormat="1" ht="29.25" customHeight="1" thickBot="1">
      <c r="A46" s="46">
        <v>1199</v>
      </c>
      <c r="B46" s="45" t="s">
        <v>506</v>
      </c>
      <c r="C46" s="44">
        <v>1397</v>
      </c>
      <c r="D46" s="43">
        <v>1590</v>
      </c>
      <c r="E46" s="42">
        <v>1702</v>
      </c>
      <c r="F46" s="41">
        <v>1743</v>
      </c>
      <c r="G46" s="42">
        <v>1866</v>
      </c>
      <c r="H46" s="41">
        <v>1994</v>
      </c>
      <c r="I46" s="40">
        <v>2478</v>
      </c>
      <c r="J46" s="39" t="s">
        <v>639</v>
      </c>
      <c r="K46" s="39">
        <v>1677</v>
      </c>
    </row>
    <row r="47" spans="1:11" s="38" customFormat="1" ht="29.25" customHeight="1">
      <c r="A47" s="45">
        <v>1201</v>
      </c>
      <c r="B47" s="45" t="s">
        <v>505</v>
      </c>
      <c r="C47" s="59" t="s">
        <v>111</v>
      </c>
      <c r="D47" s="58" t="s">
        <v>111</v>
      </c>
      <c r="E47" s="57" t="s">
        <v>111</v>
      </c>
      <c r="F47" s="56" t="s">
        <v>111</v>
      </c>
      <c r="G47" s="57" t="s">
        <v>111</v>
      </c>
      <c r="H47" s="56" t="s">
        <v>111</v>
      </c>
      <c r="I47" s="55" t="s">
        <v>111</v>
      </c>
      <c r="J47" s="54" t="s">
        <v>639</v>
      </c>
      <c r="K47" s="54" t="s">
        <v>111</v>
      </c>
    </row>
    <row r="48" spans="1:11" s="38" customFormat="1" ht="29.25" customHeight="1">
      <c r="A48" s="53">
        <v>1202</v>
      </c>
      <c r="B48" s="45" t="s">
        <v>504</v>
      </c>
      <c r="C48" s="52">
        <v>1372</v>
      </c>
      <c r="D48" s="51">
        <v>1561</v>
      </c>
      <c r="E48" s="50">
        <v>1671</v>
      </c>
      <c r="F48" s="49">
        <v>1712</v>
      </c>
      <c r="G48" s="50">
        <v>1833</v>
      </c>
      <c r="H48" s="49">
        <v>1958</v>
      </c>
      <c r="I48" s="48">
        <v>2434</v>
      </c>
      <c r="J48" s="47">
        <v>1389</v>
      </c>
      <c r="K48" s="47">
        <v>2267</v>
      </c>
    </row>
    <row r="49" spans="1:11" s="38" customFormat="1" ht="29.25" customHeight="1">
      <c r="A49" s="53">
        <v>1203</v>
      </c>
      <c r="B49" s="45" t="s">
        <v>503</v>
      </c>
      <c r="C49" s="52">
        <v>1544</v>
      </c>
      <c r="D49" s="51">
        <v>1757</v>
      </c>
      <c r="E49" s="50">
        <v>1881</v>
      </c>
      <c r="F49" s="49">
        <v>1927</v>
      </c>
      <c r="G49" s="50">
        <v>2063</v>
      </c>
      <c r="H49" s="49">
        <v>2203</v>
      </c>
      <c r="I49" s="48">
        <v>2739</v>
      </c>
      <c r="J49" s="47" t="s">
        <v>639</v>
      </c>
      <c r="K49" s="47">
        <v>1877</v>
      </c>
    </row>
    <row r="50" spans="1:11" s="38" customFormat="1" ht="29.25" customHeight="1">
      <c r="A50" s="66">
        <v>1299</v>
      </c>
      <c r="B50" s="45" t="s">
        <v>502</v>
      </c>
      <c r="C50" s="65">
        <v>1377</v>
      </c>
      <c r="D50" s="64">
        <v>1567</v>
      </c>
      <c r="E50" s="63">
        <v>1677</v>
      </c>
      <c r="F50" s="62">
        <v>1718</v>
      </c>
      <c r="G50" s="63">
        <v>1840</v>
      </c>
      <c r="H50" s="62">
        <v>1965</v>
      </c>
      <c r="I50" s="61">
        <v>2443</v>
      </c>
      <c r="J50" s="60" t="s">
        <v>639</v>
      </c>
      <c r="K50" s="60">
        <v>1686</v>
      </c>
    </row>
    <row r="51" spans="1:11" s="38" customFormat="1" ht="29.25" customHeight="1">
      <c r="A51" s="45">
        <v>1301</v>
      </c>
      <c r="B51" s="45" t="s">
        <v>501</v>
      </c>
      <c r="C51" s="59">
        <v>1727</v>
      </c>
      <c r="D51" s="58">
        <v>1965</v>
      </c>
      <c r="E51" s="57">
        <v>2103</v>
      </c>
      <c r="F51" s="56">
        <v>2155</v>
      </c>
      <c r="G51" s="57">
        <v>2307</v>
      </c>
      <c r="H51" s="56">
        <v>2464</v>
      </c>
      <c r="I51" s="55">
        <v>3064</v>
      </c>
      <c r="J51" s="54">
        <v>1863</v>
      </c>
      <c r="K51" s="54">
        <v>2396</v>
      </c>
    </row>
    <row r="52" spans="1:11" s="38" customFormat="1" ht="29.25" customHeight="1">
      <c r="A52" s="53">
        <v>1302</v>
      </c>
      <c r="B52" s="45" t="s">
        <v>500</v>
      </c>
      <c r="C52" s="52">
        <v>1549</v>
      </c>
      <c r="D52" s="51">
        <v>1763</v>
      </c>
      <c r="E52" s="50">
        <v>1887</v>
      </c>
      <c r="F52" s="49">
        <v>1933</v>
      </c>
      <c r="G52" s="50">
        <v>2069</v>
      </c>
      <c r="H52" s="49">
        <v>2210</v>
      </c>
      <c r="I52" s="48">
        <v>2748</v>
      </c>
      <c r="J52" s="47" t="s">
        <v>639</v>
      </c>
      <c r="K52" s="47">
        <v>2049</v>
      </c>
    </row>
    <row r="53" spans="1:11" s="38" customFormat="1" ht="29.25" customHeight="1">
      <c r="A53" s="53">
        <v>1303</v>
      </c>
      <c r="B53" s="45" t="s">
        <v>499</v>
      </c>
      <c r="C53" s="52">
        <v>1397</v>
      </c>
      <c r="D53" s="51">
        <v>1590</v>
      </c>
      <c r="E53" s="50">
        <v>1702</v>
      </c>
      <c r="F53" s="49">
        <v>1743</v>
      </c>
      <c r="G53" s="50">
        <v>1866</v>
      </c>
      <c r="H53" s="49">
        <v>1994</v>
      </c>
      <c r="I53" s="48">
        <v>2478</v>
      </c>
      <c r="J53" s="47" t="s">
        <v>639</v>
      </c>
      <c r="K53" s="47">
        <v>1667</v>
      </c>
    </row>
    <row r="54" spans="1:11" s="38" customFormat="1" ht="29.25" customHeight="1">
      <c r="A54" s="66">
        <v>1399</v>
      </c>
      <c r="B54" s="45" t="s">
        <v>498</v>
      </c>
      <c r="C54" s="65">
        <v>1367</v>
      </c>
      <c r="D54" s="64">
        <v>1556</v>
      </c>
      <c r="E54" s="63">
        <v>1665</v>
      </c>
      <c r="F54" s="62">
        <v>1706</v>
      </c>
      <c r="G54" s="63">
        <v>1826</v>
      </c>
      <c r="H54" s="62">
        <v>1951</v>
      </c>
      <c r="I54" s="61">
        <v>2425</v>
      </c>
      <c r="J54" s="60" t="s">
        <v>639</v>
      </c>
      <c r="K54" s="60">
        <v>1650</v>
      </c>
    </row>
    <row r="55" spans="1:11" s="38" customFormat="1" ht="29.25" customHeight="1">
      <c r="A55" s="80">
        <v>1401</v>
      </c>
      <c r="B55" s="45" t="s">
        <v>497</v>
      </c>
      <c r="C55" s="79">
        <v>1273</v>
      </c>
      <c r="D55" s="78">
        <v>1449</v>
      </c>
      <c r="E55" s="77">
        <v>1551</v>
      </c>
      <c r="F55" s="76">
        <v>1589</v>
      </c>
      <c r="G55" s="77">
        <v>1701</v>
      </c>
      <c r="H55" s="76">
        <v>1817</v>
      </c>
      <c r="I55" s="75">
        <v>2258</v>
      </c>
      <c r="J55" s="74">
        <v>1275</v>
      </c>
      <c r="K55" s="74">
        <v>1406</v>
      </c>
    </row>
    <row r="56" spans="1:11" s="38" customFormat="1" ht="29.25" customHeight="1">
      <c r="A56" s="45">
        <v>1501</v>
      </c>
      <c r="B56" s="45" t="s">
        <v>496</v>
      </c>
      <c r="C56" s="59">
        <v>1324</v>
      </c>
      <c r="D56" s="58">
        <v>1507</v>
      </c>
      <c r="E56" s="57">
        <v>1613</v>
      </c>
      <c r="F56" s="56">
        <v>1652</v>
      </c>
      <c r="G56" s="57">
        <v>1769</v>
      </c>
      <c r="H56" s="56">
        <v>1889</v>
      </c>
      <c r="I56" s="55">
        <v>2349</v>
      </c>
      <c r="J56" s="54" t="s">
        <v>639</v>
      </c>
      <c r="K56" s="54">
        <v>1654</v>
      </c>
    </row>
    <row r="57" spans="1:11" s="38" customFormat="1" ht="29.25" customHeight="1">
      <c r="A57" s="53">
        <v>1502</v>
      </c>
      <c r="B57" s="45" t="s">
        <v>495</v>
      </c>
      <c r="C57" s="52">
        <v>1277</v>
      </c>
      <c r="D57" s="51">
        <v>1453</v>
      </c>
      <c r="E57" s="50">
        <v>1555</v>
      </c>
      <c r="F57" s="49">
        <v>1594</v>
      </c>
      <c r="G57" s="50">
        <v>1706</v>
      </c>
      <c r="H57" s="49">
        <v>1822</v>
      </c>
      <c r="I57" s="48">
        <v>2265</v>
      </c>
      <c r="J57" s="47" t="s">
        <v>639</v>
      </c>
      <c r="K57" s="47">
        <v>1896</v>
      </c>
    </row>
    <row r="58" spans="1:11" s="38" customFormat="1" ht="29.25" customHeight="1">
      <c r="A58" s="66">
        <v>1503</v>
      </c>
      <c r="B58" s="45" t="s">
        <v>494</v>
      </c>
      <c r="C58" s="65">
        <v>1246</v>
      </c>
      <c r="D58" s="64">
        <v>1418</v>
      </c>
      <c r="E58" s="63">
        <v>1518</v>
      </c>
      <c r="F58" s="62">
        <v>1555</v>
      </c>
      <c r="G58" s="63">
        <v>1665</v>
      </c>
      <c r="H58" s="62">
        <v>1778</v>
      </c>
      <c r="I58" s="61">
        <v>2210</v>
      </c>
      <c r="J58" s="60" t="s">
        <v>639</v>
      </c>
      <c r="K58" s="60">
        <v>1468</v>
      </c>
    </row>
    <row r="59" spans="1:11" s="38" customFormat="1" ht="29.25" customHeight="1">
      <c r="A59" s="45">
        <v>1601</v>
      </c>
      <c r="B59" s="45" t="s">
        <v>493</v>
      </c>
      <c r="C59" s="59">
        <v>1195</v>
      </c>
      <c r="D59" s="58">
        <v>1360</v>
      </c>
      <c r="E59" s="57">
        <v>1456</v>
      </c>
      <c r="F59" s="56">
        <v>1491</v>
      </c>
      <c r="G59" s="57">
        <v>1597</v>
      </c>
      <c r="H59" s="56">
        <v>1705</v>
      </c>
      <c r="I59" s="55">
        <v>2120</v>
      </c>
      <c r="J59" s="54" t="s">
        <v>639</v>
      </c>
      <c r="K59" s="54">
        <v>1397</v>
      </c>
    </row>
    <row r="60" spans="1:11" s="38" customFormat="1" ht="29.25" customHeight="1">
      <c r="A60" s="66">
        <v>1602</v>
      </c>
      <c r="B60" s="45" t="s">
        <v>492</v>
      </c>
      <c r="C60" s="65">
        <v>1195</v>
      </c>
      <c r="D60" s="64">
        <v>1360</v>
      </c>
      <c r="E60" s="63">
        <v>1456</v>
      </c>
      <c r="F60" s="62">
        <v>1491</v>
      </c>
      <c r="G60" s="63">
        <v>1597</v>
      </c>
      <c r="H60" s="62">
        <v>1705</v>
      </c>
      <c r="I60" s="61">
        <v>2120</v>
      </c>
      <c r="J60" s="60" t="s">
        <v>639</v>
      </c>
      <c r="K60" s="60">
        <v>1377</v>
      </c>
    </row>
    <row r="61" spans="1:11" s="38" customFormat="1" ht="29.25" customHeight="1">
      <c r="A61" s="45">
        <v>1701</v>
      </c>
      <c r="B61" s="45" t="s">
        <v>491</v>
      </c>
      <c r="C61" s="59">
        <v>1288</v>
      </c>
      <c r="D61" s="58">
        <v>1466</v>
      </c>
      <c r="E61" s="57">
        <v>1569</v>
      </c>
      <c r="F61" s="56">
        <v>1607</v>
      </c>
      <c r="G61" s="57">
        <v>1721</v>
      </c>
      <c r="H61" s="56">
        <v>1838</v>
      </c>
      <c r="I61" s="55">
        <v>2285</v>
      </c>
      <c r="J61" s="54" t="s">
        <v>639</v>
      </c>
      <c r="K61" s="54">
        <v>1617</v>
      </c>
    </row>
    <row r="62" spans="1:11" s="38" customFormat="1" ht="29.25" customHeight="1">
      <c r="A62" s="53">
        <v>1702</v>
      </c>
      <c r="B62" s="45" t="s">
        <v>490</v>
      </c>
      <c r="C62" s="52">
        <v>1240</v>
      </c>
      <c r="D62" s="51">
        <v>1411</v>
      </c>
      <c r="E62" s="50">
        <v>1510</v>
      </c>
      <c r="F62" s="49">
        <v>1548</v>
      </c>
      <c r="G62" s="50">
        <v>1657</v>
      </c>
      <c r="H62" s="49">
        <v>1769</v>
      </c>
      <c r="I62" s="48">
        <v>2200</v>
      </c>
      <c r="J62" s="47" t="s">
        <v>639</v>
      </c>
      <c r="K62" s="47">
        <v>1499</v>
      </c>
    </row>
    <row r="63" spans="1:11" s="38" customFormat="1" ht="29.25" customHeight="1">
      <c r="A63" s="66">
        <v>1799</v>
      </c>
      <c r="B63" s="45" t="s">
        <v>489</v>
      </c>
      <c r="C63" s="65">
        <v>1289</v>
      </c>
      <c r="D63" s="64">
        <v>1467</v>
      </c>
      <c r="E63" s="63">
        <v>1570</v>
      </c>
      <c r="F63" s="62">
        <v>1609</v>
      </c>
      <c r="G63" s="63">
        <v>1722</v>
      </c>
      <c r="H63" s="62">
        <v>1839</v>
      </c>
      <c r="I63" s="61">
        <v>2287</v>
      </c>
      <c r="J63" s="60" t="s">
        <v>639</v>
      </c>
      <c r="K63" s="60">
        <v>1559</v>
      </c>
    </row>
    <row r="64" spans="1:11" s="38" customFormat="1" ht="29.25" customHeight="1">
      <c r="A64" s="45">
        <v>1801</v>
      </c>
      <c r="B64" s="45" t="s">
        <v>488</v>
      </c>
      <c r="C64" s="59">
        <v>1173</v>
      </c>
      <c r="D64" s="58">
        <v>1335</v>
      </c>
      <c r="E64" s="57">
        <v>1429</v>
      </c>
      <c r="F64" s="56">
        <v>1464</v>
      </c>
      <c r="G64" s="57">
        <v>1567</v>
      </c>
      <c r="H64" s="56">
        <v>1674</v>
      </c>
      <c r="I64" s="55">
        <v>2081</v>
      </c>
      <c r="J64" s="54" t="s">
        <v>639</v>
      </c>
      <c r="K64" s="54">
        <v>1395</v>
      </c>
    </row>
    <row r="65" spans="1:11" s="38" customFormat="1" ht="29.25" customHeight="1">
      <c r="A65" s="53">
        <v>1802</v>
      </c>
      <c r="B65" s="45" t="s">
        <v>487</v>
      </c>
      <c r="C65" s="52">
        <v>1111</v>
      </c>
      <c r="D65" s="51">
        <v>1264</v>
      </c>
      <c r="E65" s="50">
        <v>1353</v>
      </c>
      <c r="F65" s="49">
        <v>1387</v>
      </c>
      <c r="G65" s="50">
        <v>1484</v>
      </c>
      <c r="H65" s="49">
        <v>1585</v>
      </c>
      <c r="I65" s="48">
        <v>1971</v>
      </c>
      <c r="J65" s="47">
        <v>1119</v>
      </c>
      <c r="K65" s="47">
        <v>1304</v>
      </c>
    </row>
    <row r="66" spans="1:11" s="38" customFormat="1" ht="29.25" customHeight="1">
      <c r="A66" s="66">
        <v>1803</v>
      </c>
      <c r="B66" s="45" t="s">
        <v>486</v>
      </c>
      <c r="C66" s="65">
        <v>1274</v>
      </c>
      <c r="D66" s="64">
        <v>1450</v>
      </c>
      <c r="E66" s="63">
        <v>1552</v>
      </c>
      <c r="F66" s="62">
        <v>1590</v>
      </c>
      <c r="G66" s="63">
        <v>1702</v>
      </c>
      <c r="H66" s="62">
        <v>1818</v>
      </c>
      <c r="I66" s="61">
        <v>2260</v>
      </c>
      <c r="J66" s="60" t="s">
        <v>639</v>
      </c>
      <c r="K66" s="60">
        <v>1563</v>
      </c>
    </row>
    <row r="67" spans="1:11" s="38" customFormat="1" ht="29.25" customHeight="1">
      <c r="A67" s="45">
        <v>1901</v>
      </c>
      <c r="B67" s="45" t="s">
        <v>485</v>
      </c>
      <c r="C67" s="59">
        <v>1166</v>
      </c>
      <c r="D67" s="58">
        <v>1327</v>
      </c>
      <c r="E67" s="57">
        <v>1420</v>
      </c>
      <c r="F67" s="56">
        <v>1455</v>
      </c>
      <c r="G67" s="57">
        <v>1558</v>
      </c>
      <c r="H67" s="56">
        <v>1664</v>
      </c>
      <c r="I67" s="55">
        <v>2068</v>
      </c>
      <c r="J67" s="54" t="s">
        <v>639</v>
      </c>
      <c r="K67" s="54">
        <v>1266</v>
      </c>
    </row>
    <row r="68" spans="1:11" s="38" customFormat="1" ht="29.25" customHeight="1">
      <c r="A68" s="53">
        <v>1902</v>
      </c>
      <c r="B68" s="45" t="s">
        <v>484</v>
      </c>
      <c r="C68" s="52">
        <v>1253</v>
      </c>
      <c r="D68" s="51">
        <v>1426</v>
      </c>
      <c r="E68" s="50">
        <v>1526</v>
      </c>
      <c r="F68" s="49">
        <v>1564</v>
      </c>
      <c r="G68" s="50">
        <v>1674</v>
      </c>
      <c r="H68" s="49">
        <v>1788</v>
      </c>
      <c r="I68" s="48">
        <v>2223</v>
      </c>
      <c r="J68" s="47" t="s">
        <v>639</v>
      </c>
      <c r="K68" s="47">
        <v>1354</v>
      </c>
    </row>
    <row r="69" spans="1:11" s="38" customFormat="1" ht="29.25" customHeight="1" thickBot="1">
      <c r="A69" s="66">
        <v>1903</v>
      </c>
      <c r="B69" s="45" t="s">
        <v>483</v>
      </c>
      <c r="C69" s="65">
        <v>1396</v>
      </c>
      <c r="D69" s="64">
        <v>1589</v>
      </c>
      <c r="E69" s="63">
        <v>1700</v>
      </c>
      <c r="F69" s="62">
        <v>1742</v>
      </c>
      <c r="G69" s="63">
        <v>1865</v>
      </c>
      <c r="H69" s="62">
        <v>1992</v>
      </c>
      <c r="I69" s="61">
        <v>2477</v>
      </c>
      <c r="J69" s="60" t="s">
        <v>639</v>
      </c>
      <c r="K69" s="60">
        <v>1538</v>
      </c>
    </row>
    <row r="70" spans="1:11" s="38" customFormat="1" ht="29.25" customHeight="1">
      <c r="A70" s="87">
        <v>2001</v>
      </c>
      <c r="B70" s="45" t="s">
        <v>482</v>
      </c>
      <c r="C70" s="86" t="s">
        <v>111</v>
      </c>
      <c r="D70" s="85" t="s">
        <v>111</v>
      </c>
      <c r="E70" s="84" t="s">
        <v>111</v>
      </c>
      <c r="F70" s="83" t="s">
        <v>111</v>
      </c>
      <c r="G70" s="84" t="s">
        <v>111</v>
      </c>
      <c r="H70" s="83" t="s">
        <v>111</v>
      </c>
      <c r="I70" s="82" t="s">
        <v>111</v>
      </c>
      <c r="J70" s="81" t="s">
        <v>639</v>
      </c>
      <c r="K70" s="81" t="s">
        <v>111</v>
      </c>
    </row>
    <row r="71" spans="1:11" s="38" customFormat="1" ht="29.25" customHeight="1">
      <c r="A71" s="53">
        <v>2002</v>
      </c>
      <c r="B71" s="45" t="s">
        <v>481</v>
      </c>
      <c r="C71" s="52">
        <v>1241</v>
      </c>
      <c r="D71" s="51">
        <v>1412</v>
      </c>
      <c r="E71" s="50">
        <v>1512</v>
      </c>
      <c r="F71" s="49">
        <v>1549</v>
      </c>
      <c r="G71" s="50">
        <v>1658</v>
      </c>
      <c r="H71" s="49">
        <v>1771</v>
      </c>
      <c r="I71" s="48">
        <v>2202</v>
      </c>
      <c r="J71" s="47" t="s">
        <v>639</v>
      </c>
      <c r="K71" s="47">
        <v>1430</v>
      </c>
    </row>
    <row r="72" spans="1:11" s="38" customFormat="1" ht="43.5" customHeight="1" thickBot="1">
      <c r="A72" s="91">
        <v>2099</v>
      </c>
      <c r="B72" s="45" t="s">
        <v>480</v>
      </c>
      <c r="C72" s="44">
        <v>1356</v>
      </c>
      <c r="D72" s="43">
        <v>1543</v>
      </c>
      <c r="E72" s="42">
        <v>1652</v>
      </c>
      <c r="F72" s="41">
        <v>1692</v>
      </c>
      <c r="G72" s="42">
        <v>1812</v>
      </c>
      <c r="H72" s="41">
        <v>1935</v>
      </c>
      <c r="I72" s="40">
        <v>2406</v>
      </c>
      <c r="J72" s="39" t="s">
        <v>639</v>
      </c>
      <c r="K72" s="39">
        <v>1648</v>
      </c>
    </row>
    <row r="73" spans="1:11" s="38" customFormat="1" ht="29.25" customHeight="1">
      <c r="A73" s="45">
        <v>2101</v>
      </c>
      <c r="B73" s="45" t="s">
        <v>479</v>
      </c>
      <c r="C73" s="59">
        <v>5751</v>
      </c>
      <c r="D73" s="58">
        <v>6545</v>
      </c>
      <c r="E73" s="57">
        <v>7005</v>
      </c>
      <c r="F73" s="56">
        <v>7177</v>
      </c>
      <c r="G73" s="57">
        <v>7683</v>
      </c>
      <c r="H73" s="56">
        <v>8207</v>
      </c>
      <c r="I73" s="55">
        <v>10202</v>
      </c>
      <c r="J73" s="54">
        <v>5812</v>
      </c>
      <c r="K73" s="54">
        <v>6592</v>
      </c>
    </row>
    <row r="74" spans="1:11" s="38" customFormat="1" ht="29.25" customHeight="1">
      <c r="A74" s="53">
        <v>2102</v>
      </c>
      <c r="B74" s="45" t="s">
        <v>478</v>
      </c>
      <c r="C74" s="52">
        <v>2814</v>
      </c>
      <c r="D74" s="51">
        <v>3202</v>
      </c>
      <c r="E74" s="50">
        <v>3427</v>
      </c>
      <c r="F74" s="49">
        <v>3512</v>
      </c>
      <c r="G74" s="50">
        <v>3760</v>
      </c>
      <c r="H74" s="49">
        <v>4016</v>
      </c>
      <c r="I74" s="48">
        <v>4992</v>
      </c>
      <c r="J74" s="47" t="s">
        <v>639</v>
      </c>
      <c r="K74" s="47">
        <v>3907</v>
      </c>
    </row>
    <row r="75" spans="1:11" s="38" customFormat="1" ht="29.25" customHeight="1">
      <c r="A75" s="53">
        <v>2103</v>
      </c>
      <c r="B75" s="45" t="s">
        <v>477</v>
      </c>
      <c r="C75" s="52">
        <v>1681</v>
      </c>
      <c r="D75" s="51">
        <v>1913</v>
      </c>
      <c r="E75" s="50">
        <v>2047</v>
      </c>
      <c r="F75" s="49">
        <v>2098</v>
      </c>
      <c r="G75" s="50">
        <v>2246</v>
      </c>
      <c r="H75" s="49">
        <v>2399</v>
      </c>
      <c r="I75" s="48">
        <v>2982</v>
      </c>
      <c r="J75" s="47" t="s">
        <v>639</v>
      </c>
      <c r="K75" s="47">
        <v>2046</v>
      </c>
    </row>
    <row r="76" spans="1:11" s="38" customFormat="1" ht="29.25" customHeight="1">
      <c r="A76" s="66">
        <v>2104</v>
      </c>
      <c r="B76" s="45" t="s">
        <v>476</v>
      </c>
      <c r="C76" s="65">
        <v>1814</v>
      </c>
      <c r="D76" s="64">
        <v>2064</v>
      </c>
      <c r="E76" s="63">
        <v>2209</v>
      </c>
      <c r="F76" s="62">
        <v>2264</v>
      </c>
      <c r="G76" s="63">
        <v>2424</v>
      </c>
      <c r="H76" s="62">
        <v>2589</v>
      </c>
      <c r="I76" s="61">
        <v>3218</v>
      </c>
      <c r="J76" s="60" t="s">
        <v>639</v>
      </c>
      <c r="K76" s="60">
        <v>2107</v>
      </c>
    </row>
    <row r="77" spans="1:11" s="38" customFormat="1" ht="29.25" customHeight="1">
      <c r="A77" s="45">
        <v>2201</v>
      </c>
      <c r="B77" s="45" t="s">
        <v>475</v>
      </c>
      <c r="C77" s="59">
        <v>1356</v>
      </c>
      <c r="D77" s="58">
        <v>1543</v>
      </c>
      <c r="E77" s="57">
        <v>1652</v>
      </c>
      <c r="F77" s="56">
        <v>1692</v>
      </c>
      <c r="G77" s="57">
        <v>1812</v>
      </c>
      <c r="H77" s="56">
        <v>1935</v>
      </c>
      <c r="I77" s="55">
        <v>2406</v>
      </c>
      <c r="J77" s="54" t="s">
        <v>639</v>
      </c>
      <c r="K77" s="54">
        <v>1520</v>
      </c>
    </row>
    <row r="78" spans="1:11" s="38" customFormat="1" ht="29.25" customHeight="1">
      <c r="A78" s="66">
        <v>2202</v>
      </c>
      <c r="B78" s="45" t="s">
        <v>474</v>
      </c>
      <c r="C78" s="65">
        <v>1511</v>
      </c>
      <c r="D78" s="64">
        <v>1720</v>
      </c>
      <c r="E78" s="63">
        <v>1840</v>
      </c>
      <c r="F78" s="62">
        <v>1886</v>
      </c>
      <c r="G78" s="63">
        <v>2019</v>
      </c>
      <c r="H78" s="62">
        <v>2156</v>
      </c>
      <c r="I78" s="61">
        <v>2681</v>
      </c>
      <c r="J78" s="60" t="s">
        <v>639</v>
      </c>
      <c r="K78" s="60">
        <v>1731</v>
      </c>
    </row>
    <row r="79" spans="1:11" s="38" customFormat="1" ht="29.25" customHeight="1">
      <c r="A79" s="45">
        <v>2301</v>
      </c>
      <c r="B79" s="45" t="s">
        <v>473</v>
      </c>
      <c r="C79" s="59">
        <v>1304</v>
      </c>
      <c r="D79" s="58">
        <v>1484</v>
      </c>
      <c r="E79" s="57">
        <v>1588</v>
      </c>
      <c r="F79" s="56">
        <v>1627</v>
      </c>
      <c r="G79" s="57">
        <v>1742</v>
      </c>
      <c r="H79" s="56">
        <v>1861</v>
      </c>
      <c r="I79" s="55">
        <v>2313</v>
      </c>
      <c r="J79" s="54" t="s">
        <v>639</v>
      </c>
      <c r="K79" s="54">
        <v>1483</v>
      </c>
    </row>
    <row r="80" spans="1:11" s="38" customFormat="1" ht="29.25" customHeight="1">
      <c r="A80" s="53">
        <v>2302</v>
      </c>
      <c r="B80" s="45" t="s">
        <v>472</v>
      </c>
      <c r="C80" s="52">
        <v>1361</v>
      </c>
      <c r="D80" s="51">
        <v>1549</v>
      </c>
      <c r="E80" s="50">
        <v>1658</v>
      </c>
      <c r="F80" s="49">
        <v>1699</v>
      </c>
      <c r="G80" s="50">
        <v>1818</v>
      </c>
      <c r="H80" s="49">
        <v>1942</v>
      </c>
      <c r="I80" s="48">
        <v>2414</v>
      </c>
      <c r="J80" s="47" t="s">
        <v>639</v>
      </c>
      <c r="K80" s="47">
        <v>1513</v>
      </c>
    </row>
    <row r="81" spans="1:11" s="38" customFormat="1" ht="29.25" customHeight="1">
      <c r="A81" s="53">
        <v>2303</v>
      </c>
      <c r="B81" s="45" t="s">
        <v>471</v>
      </c>
      <c r="C81" s="52">
        <v>1578</v>
      </c>
      <c r="D81" s="51">
        <v>1796</v>
      </c>
      <c r="E81" s="50">
        <v>1922</v>
      </c>
      <c r="F81" s="49">
        <v>1969</v>
      </c>
      <c r="G81" s="50">
        <v>2108</v>
      </c>
      <c r="H81" s="49">
        <v>2252</v>
      </c>
      <c r="I81" s="48">
        <v>2799</v>
      </c>
      <c r="J81" s="47" t="s">
        <v>639</v>
      </c>
      <c r="K81" s="47">
        <v>1733</v>
      </c>
    </row>
    <row r="82" spans="1:11" s="38" customFormat="1" ht="29.25" customHeight="1">
      <c r="A82" s="66">
        <v>2399</v>
      </c>
      <c r="B82" s="45" t="s">
        <v>470</v>
      </c>
      <c r="C82" s="65">
        <v>1370</v>
      </c>
      <c r="D82" s="64">
        <v>1559</v>
      </c>
      <c r="E82" s="63">
        <v>1669</v>
      </c>
      <c r="F82" s="62">
        <v>1710</v>
      </c>
      <c r="G82" s="63">
        <v>1830</v>
      </c>
      <c r="H82" s="62">
        <v>1955</v>
      </c>
      <c r="I82" s="61">
        <v>2430</v>
      </c>
      <c r="J82" s="60" t="s">
        <v>639</v>
      </c>
      <c r="K82" s="60">
        <v>1495</v>
      </c>
    </row>
    <row r="83" spans="1:11" s="38" customFormat="1" ht="29.25" customHeight="1">
      <c r="A83" s="45">
        <v>2401</v>
      </c>
      <c r="B83" s="45" t="s">
        <v>469</v>
      </c>
      <c r="C83" s="59">
        <v>1337</v>
      </c>
      <c r="D83" s="58">
        <v>1522</v>
      </c>
      <c r="E83" s="57">
        <v>1628</v>
      </c>
      <c r="F83" s="56">
        <v>1669</v>
      </c>
      <c r="G83" s="57">
        <v>1786</v>
      </c>
      <c r="H83" s="56">
        <v>1908</v>
      </c>
      <c r="I83" s="55">
        <v>2372</v>
      </c>
      <c r="J83" s="54" t="s">
        <v>639</v>
      </c>
      <c r="K83" s="54">
        <v>1523</v>
      </c>
    </row>
    <row r="84" spans="1:11" s="38" customFormat="1" ht="29.25" customHeight="1">
      <c r="A84" s="53">
        <v>2402</v>
      </c>
      <c r="B84" s="45" t="s">
        <v>468</v>
      </c>
      <c r="C84" s="52">
        <v>1257</v>
      </c>
      <c r="D84" s="51">
        <v>1430</v>
      </c>
      <c r="E84" s="50">
        <v>1531</v>
      </c>
      <c r="F84" s="49">
        <v>1569</v>
      </c>
      <c r="G84" s="50">
        <v>1679</v>
      </c>
      <c r="H84" s="49">
        <v>1794</v>
      </c>
      <c r="I84" s="48">
        <v>2230</v>
      </c>
      <c r="J84" s="47" t="s">
        <v>639</v>
      </c>
      <c r="K84" s="47">
        <v>1440</v>
      </c>
    </row>
    <row r="85" spans="1:11" s="38" customFormat="1" ht="29.25" customHeight="1">
      <c r="A85" s="53">
        <v>2403</v>
      </c>
      <c r="B85" s="45" t="s">
        <v>467</v>
      </c>
      <c r="C85" s="52">
        <v>1257</v>
      </c>
      <c r="D85" s="51">
        <v>1430</v>
      </c>
      <c r="E85" s="50">
        <v>1531</v>
      </c>
      <c r="F85" s="49">
        <v>1569</v>
      </c>
      <c r="G85" s="50">
        <v>1679</v>
      </c>
      <c r="H85" s="49">
        <v>1794</v>
      </c>
      <c r="I85" s="48">
        <v>2230</v>
      </c>
      <c r="J85" s="47" t="s">
        <v>639</v>
      </c>
      <c r="K85" s="47">
        <v>1427</v>
      </c>
    </row>
    <row r="86" spans="1:11" s="38" customFormat="1" ht="29.25" customHeight="1">
      <c r="A86" s="53">
        <v>2404</v>
      </c>
      <c r="B86" s="45" t="s">
        <v>466</v>
      </c>
      <c r="C86" s="52">
        <v>1421</v>
      </c>
      <c r="D86" s="51">
        <v>1617</v>
      </c>
      <c r="E86" s="50">
        <v>1731</v>
      </c>
      <c r="F86" s="49">
        <v>1773</v>
      </c>
      <c r="G86" s="50">
        <v>1898</v>
      </c>
      <c r="H86" s="49">
        <v>2028</v>
      </c>
      <c r="I86" s="48">
        <v>2521</v>
      </c>
      <c r="J86" s="47" t="s">
        <v>639</v>
      </c>
      <c r="K86" s="47">
        <v>1589</v>
      </c>
    </row>
    <row r="87" spans="1:11" s="38" customFormat="1" ht="29.25" customHeight="1">
      <c r="A87" s="53">
        <v>2405</v>
      </c>
      <c r="B87" s="45" t="s">
        <v>465</v>
      </c>
      <c r="C87" s="52">
        <v>1385</v>
      </c>
      <c r="D87" s="51">
        <v>1576</v>
      </c>
      <c r="E87" s="50">
        <v>1687</v>
      </c>
      <c r="F87" s="49">
        <v>1728</v>
      </c>
      <c r="G87" s="50">
        <v>1850</v>
      </c>
      <c r="H87" s="49">
        <v>1976</v>
      </c>
      <c r="I87" s="48">
        <v>2457</v>
      </c>
      <c r="J87" s="47" t="s">
        <v>639</v>
      </c>
      <c r="K87" s="47">
        <v>1550</v>
      </c>
    </row>
    <row r="88" spans="1:11" s="38" customFormat="1" ht="29.25" customHeight="1">
      <c r="A88" s="53">
        <v>2406</v>
      </c>
      <c r="B88" s="45" t="s">
        <v>464</v>
      </c>
      <c r="C88" s="52">
        <v>1293</v>
      </c>
      <c r="D88" s="51">
        <v>1471</v>
      </c>
      <c r="E88" s="50">
        <v>1575</v>
      </c>
      <c r="F88" s="49">
        <v>1614</v>
      </c>
      <c r="G88" s="50">
        <v>1727</v>
      </c>
      <c r="H88" s="49">
        <v>1845</v>
      </c>
      <c r="I88" s="48">
        <v>2294</v>
      </c>
      <c r="J88" s="47" t="s">
        <v>639</v>
      </c>
      <c r="K88" s="47">
        <v>1458</v>
      </c>
    </row>
    <row r="89" spans="1:11" s="38" customFormat="1" ht="29.25" customHeight="1">
      <c r="A89" s="53">
        <v>2407</v>
      </c>
      <c r="B89" s="45" t="s">
        <v>463</v>
      </c>
      <c r="C89" s="52">
        <v>1383</v>
      </c>
      <c r="D89" s="51">
        <v>1574</v>
      </c>
      <c r="E89" s="50">
        <v>1684</v>
      </c>
      <c r="F89" s="49">
        <v>1726</v>
      </c>
      <c r="G89" s="50">
        <v>1848</v>
      </c>
      <c r="H89" s="49">
        <v>1974</v>
      </c>
      <c r="I89" s="48">
        <v>2453</v>
      </c>
      <c r="J89" s="47" t="s">
        <v>639</v>
      </c>
      <c r="K89" s="47">
        <v>1548</v>
      </c>
    </row>
    <row r="90" spans="1:11" s="38" customFormat="1" ht="29.25" customHeight="1">
      <c r="A90" s="53">
        <v>2408</v>
      </c>
      <c r="B90" s="45" t="s">
        <v>462</v>
      </c>
      <c r="C90" s="52">
        <v>1335</v>
      </c>
      <c r="D90" s="51">
        <v>1519</v>
      </c>
      <c r="E90" s="50">
        <v>1626</v>
      </c>
      <c r="F90" s="49">
        <v>1666</v>
      </c>
      <c r="G90" s="50">
        <v>1784</v>
      </c>
      <c r="H90" s="49">
        <v>1905</v>
      </c>
      <c r="I90" s="48">
        <v>2368</v>
      </c>
      <c r="J90" s="47" t="s">
        <v>639</v>
      </c>
      <c r="K90" s="47">
        <v>1507</v>
      </c>
    </row>
    <row r="91" spans="1:11" s="38" customFormat="1" ht="29.25" customHeight="1">
      <c r="A91" s="53">
        <v>2409</v>
      </c>
      <c r="B91" s="45" t="s">
        <v>461</v>
      </c>
      <c r="C91" s="52">
        <v>1293</v>
      </c>
      <c r="D91" s="51">
        <v>1471</v>
      </c>
      <c r="E91" s="50">
        <v>1575</v>
      </c>
      <c r="F91" s="49">
        <v>1614</v>
      </c>
      <c r="G91" s="50">
        <v>1727</v>
      </c>
      <c r="H91" s="49">
        <v>1845</v>
      </c>
      <c r="I91" s="48">
        <v>2294</v>
      </c>
      <c r="J91" s="47" t="s">
        <v>639</v>
      </c>
      <c r="K91" s="47">
        <v>1658</v>
      </c>
    </row>
    <row r="92" spans="1:11" s="38" customFormat="1" ht="29.25" customHeight="1">
      <c r="A92" s="45">
        <v>2501</v>
      </c>
      <c r="B92" s="45" t="s">
        <v>460</v>
      </c>
      <c r="C92" s="94">
        <v>1221</v>
      </c>
      <c r="D92" s="58">
        <v>1389</v>
      </c>
      <c r="E92" s="57">
        <v>1487</v>
      </c>
      <c r="F92" s="56">
        <v>1524</v>
      </c>
      <c r="G92" s="57">
        <v>1631</v>
      </c>
      <c r="H92" s="56">
        <v>1742</v>
      </c>
      <c r="I92" s="55">
        <v>2166</v>
      </c>
      <c r="J92" s="54" t="s">
        <v>639</v>
      </c>
      <c r="K92" s="54">
        <v>1332</v>
      </c>
    </row>
    <row r="93" spans="1:11" s="38" customFormat="1" ht="29.25" customHeight="1" thickBot="1">
      <c r="A93" s="46">
        <v>2502</v>
      </c>
      <c r="B93" s="45" t="s">
        <v>459</v>
      </c>
      <c r="C93" s="44">
        <v>1216</v>
      </c>
      <c r="D93" s="43">
        <v>1384</v>
      </c>
      <c r="E93" s="42">
        <v>1481</v>
      </c>
      <c r="F93" s="41">
        <v>1518</v>
      </c>
      <c r="G93" s="42">
        <v>1625</v>
      </c>
      <c r="H93" s="41">
        <v>1735</v>
      </c>
      <c r="I93" s="40">
        <v>2157</v>
      </c>
      <c r="J93" s="39" t="s">
        <v>639</v>
      </c>
      <c r="K93" s="39">
        <v>1335</v>
      </c>
    </row>
    <row r="94" spans="1:11" s="38" customFormat="1" ht="29.25" customHeight="1">
      <c r="A94" s="45">
        <v>2601</v>
      </c>
      <c r="B94" s="45" t="s">
        <v>458</v>
      </c>
      <c r="C94" s="59">
        <v>1364</v>
      </c>
      <c r="D94" s="58">
        <v>1552</v>
      </c>
      <c r="E94" s="57">
        <v>1661</v>
      </c>
      <c r="F94" s="56">
        <v>1702</v>
      </c>
      <c r="G94" s="57">
        <v>1822</v>
      </c>
      <c r="H94" s="56">
        <v>1946</v>
      </c>
      <c r="I94" s="55">
        <v>2420</v>
      </c>
      <c r="J94" s="54" t="s">
        <v>639</v>
      </c>
      <c r="K94" s="54">
        <v>1599</v>
      </c>
    </row>
    <row r="95" spans="1:11" s="38" customFormat="1" ht="29.25" customHeight="1">
      <c r="A95" s="66">
        <v>2602</v>
      </c>
      <c r="B95" s="45" t="s">
        <v>457</v>
      </c>
      <c r="C95" s="65">
        <v>1382</v>
      </c>
      <c r="D95" s="64">
        <v>1573</v>
      </c>
      <c r="E95" s="63">
        <v>1683</v>
      </c>
      <c r="F95" s="62">
        <v>1725</v>
      </c>
      <c r="G95" s="63">
        <v>1846</v>
      </c>
      <c r="H95" s="62">
        <v>1972</v>
      </c>
      <c r="I95" s="61">
        <v>2452</v>
      </c>
      <c r="J95" s="60" t="s">
        <v>639</v>
      </c>
      <c r="K95" s="60">
        <v>1607</v>
      </c>
    </row>
    <row r="96" spans="1:11" s="38" customFormat="1" ht="29.25" customHeight="1">
      <c r="A96" s="66">
        <v>2799</v>
      </c>
      <c r="B96" s="45" t="s">
        <v>456</v>
      </c>
      <c r="C96" s="65">
        <v>1313</v>
      </c>
      <c r="D96" s="64">
        <v>1494</v>
      </c>
      <c r="E96" s="63">
        <v>1599</v>
      </c>
      <c r="F96" s="62">
        <v>1639</v>
      </c>
      <c r="G96" s="63">
        <v>1754</v>
      </c>
      <c r="H96" s="62">
        <v>1874</v>
      </c>
      <c r="I96" s="61">
        <v>2329</v>
      </c>
      <c r="J96" s="60" t="s">
        <v>639</v>
      </c>
      <c r="K96" s="60">
        <v>1476</v>
      </c>
    </row>
    <row r="97" spans="1:11" s="38" customFormat="1" ht="29.25" customHeight="1">
      <c r="A97" s="45">
        <v>2801</v>
      </c>
      <c r="B97" s="45" t="s">
        <v>455</v>
      </c>
      <c r="C97" s="59">
        <v>1037</v>
      </c>
      <c r="D97" s="58">
        <v>1180</v>
      </c>
      <c r="E97" s="57">
        <v>1263</v>
      </c>
      <c r="F97" s="56">
        <v>1294</v>
      </c>
      <c r="G97" s="57">
        <v>1385</v>
      </c>
      <c r="H97" s="56">
        <v>1480</v>
      </c>
      <c r="I97" s="55">
        <v>1840</v>
      </c>
      <c r="J97" s="54" t="s">
        <v>639</v>
      </c>
      <c r="K97" s="54">
        <v>1126</v>
      </c>
    </row>
    <row r="98" spans="1:11" s="38" customFormat="1" ht="29.25" customHeight="1">
      <c r="A98" s="53">
        <v>2802</v>
      </c>
      <c r="B98" s="45" t="s">
        <v>454</v>
      </c>
      <c r="C98" s="52">
        <v>1102</v>
      </c>
      <c r="D98" s="51">
        <v>1254</v>
      </c>
      <c r="E98" s="50">
        <v>1342</v>
      </c>
      <c r="F98" s="49">
        <v>1375</v>
      </c>
      <c r="G98" s="50">
        <v>1472</v>
      </c>
      <c r="H98" s="49">
        <v>1573</v>
      </c>
      <c r="I98" s="48">
        <v>1955</v>
      </c>
      <c r="J98" s="47" t="s">
        <v>639</v>
      </c>
      <c r="K98" s="47">
        <v>1210</v>
      </c>
    </row>
    <row r="99" spans="1:11" s="38" customFormat="1" ht="29.25" customHeight="1">
      <c r="A99" s="66">
        <v>2899</v>
      </c>
      <c r="B99" s="45" t="s">
        <v>453</v>
      </c>
      <c r="C99" s="65">
        <v>1085</v>
      </c>
      <c r="D99" s="64">
        <v>1235</v>
      </c>
      <c r="E99" s="63">
        <v>1322</v>
      </c>
      <c r="F99" s="62">
        <v>1354</v>
      </c>
      <c r="G99" s="63">
        <v>1450</v>
      </c>
      <c r="H99" s="62">
        <v>1548</v>
      </c>
      <c r="I99" s="61">
        <v>1925</v>
      </c>
      <c r="J99" s="60" t="s">
        <v>639</v>
      </c>
      <c r="K99" s="60">
        <v>1190</v>
      </c>
    </row>
    <row r="100" spans="1:11" s="38" customFormat="1" ht="29.25" customHeight="1">
      <c r="A100" s="45">
        <v>2901</v>
      </c>
      <c r="B100" s="45" t="s">
        <v>452</v>
      </c>
      <c r="C100" s="59">
        <v>1257</v>
      </c>
      <c r="D100" s="58">
        <v>1430</v>
      </c>
      <c r="E100" s="57">
        <v>1531</v>
      </c>
      <c r="F100" s="56">
        <v>1569</v>
      </c>
      <c r="G100" s="57">
        <v>1679</v>
      </c>
      <c r="H100" s="56">
        <v>1794</v>
      </c>
      <c r="I100" s="55">
        <v>2230</v>
      </c>
      <c r="J100" s="54" t="s">
        <v>639</v>
      </c>
      <c r="K100" s="54">
        <v>1381</v>
      </c>
    </row>
    <row r="101" spans="1:11" s="38" customFormat="1" ht="29.25" customHeight="1">
      <c r="A101" s="53">
        <v>2902</v>
      </c>
      <c r="B101" s="45" t="s">
        <v>451</v>
      </c>
      <c r="C101" s="52">
        <v>1224</v>
      </c>
      <c r="D101" s="51">
        <v>1393</v>
      </c>
      <c r="E101" s="50">
        <v>1491</v>
      </c>
      <c r="F101" s="49">
        <v>1528</v>
      </c>
      <c r="G101" s="50">
        <v>1635</v>
      </c>
      <c r="H101" s="49">
        <v>1747</v>
      </c>
      <c r="I101" s="48">
        <v>2171</v>
      </c>
      <c r="J101" s="47" t="s">
        <v>639</v>
      </c>
      <c r="K101" s="47">
        <v>1341</v>
      </c>
    </row>
    <row r="102" spans="1:11" s="38" customFormat="1" ht="29.25" customHeight="1">
      <c r="A102" s="66">
        <v>2903</v>
      </c>
      <c r="B102" s="45" t="s">
        <v>450</v>
      </c>
      <c r="C102" s="65">
        <v>1197</v>
      </c>
      <c r="D102" s="64">
        <v>1362</v>
      </c>
      <c r="E102" s="63">
        <v>1458</v>
      </c>
      <c r="F102" s="62">
        <v>1494</v>
      </c>
      <c r="G102" s="63">
        <v>1599</v>
      </c>
      <c r="H102" s="62">
        <v>1708</v>
      </c>
      <c r="I102" s="61">
        <v>2123</v>
      </c>
      <c r="J102" s="60" t="s">
        <v>639</v>
      </c>
      <c r="K102" s="60">
        <v>1315</v>
      </c>
    </row>
    <row r="103" spans="1:11" s="38" customFormat="1" ht="29.25" customHeight="1">
      <c r="A103" s="45">
        <v>3001</v>
      </c>
      <c r="B103" s="45" t="s">
        <v>449</v>
      </c>
      <c r="C103" s="59">
        <v>1187</v>
      </c>
      <c r="D103" s="58">
        <v>1351</v>
      </c>
      <c r="E103" s="57">
        <v>1446</v>
      </c>
      <c r="F103" s="56">
        <v>1481</v>
      </c>
      <c r="G103" s="57">
        <v>1586</v>
      </c>
      <c r="H103" s="56">
        <v>1694</v>
      </c>
      <c r="I103" s="55">
        <v>2106</v>
      </c>
      <c r="J103" s="54" t="s">
        <v>639</v>
      </c>
      <c r="K103" s="54">
        <v>1279</v>
      </c>
    </row>
    <row r="104" spans="1:11" s="38" customFormat="1" ht="29.25" customHeight="1">
      <c r="A104" s="53">
        <v>3002</v>
      </c>
      <c r="B104" s="45" t="s">
        <v>448</v>
      </c>
      <c r="C104" s="52">
        <v>1227</v>
      </c>
      <c r="D104" s="51">
        <v>1396</v>
      </c>
      <c r="E104" s="50">
        <v>1494</v>
      </c>
      <c r="F104" s="49">
        <v>1531</v>
      </c>
      <c r="G104" s="50">
        <v>1639</v>
      </c>
      <c r="H104" s="49">
        <v>1751</v>
      </c>
      <c r="I104" s="48">
        <v>2177</v>
      </c>
      <c r="J104" s="47" t="s">
        <v>639</v>
      </c>
      <c r="K104" s="47">
        <v>1324</v>
      </c>
    </row>
    <row r="105" spans="1:11" s="38" customFormat="1" ht="29.25" customHeight="1">
      <c r="A105" s="53">
        <v>3003</v>
      </c>
      <c r="B105" s="45" t="s">
        <v>447</v>
      </c>
      <c r="C105" s="52">
        <v>1109</v>
      </c>
      <c r="D105" s="51">
        <v>1262</v>
      </c>
      <c r="E105" s="50">
        <v>1351</v>
      </c>
      <c r="F105" s="49">
        <v>1384</v>
      </c>
      <c r="G105" s="50">
        <v>1482</v>
      </c>
      <c r="H105" s="49">
        <v>1583</v>
      </c>
      <c r="I105" s="48">
        <v>1967</v>
      </c>
      <c r="J105" s="47" t="s">
        <v>639</v>
      </c>
      <c r="K105" s="47">
        <v>1203</v>
      </c>
    </row>
    <row r="106" spans="1:11" s="38" customFormat="1" ht="29.25" customHeight="1">
      <c r="A106" s="45">
        <v>3101</v>
      </c>
      <c r="B106" s="45" t="s">
        <v>446</v>
      </c>
      <c r="C106" s="59">
        <v>1259</v>
      </c>
      <c r="D106" s="58">
        <v>1433</v>
      </c>
      <c r="E106" s="57">
        <v>1533</v>
      </c>
      <c r="F106" s="56">
        <v>1571</v>
      </c>
      <c r="G106" s="57">
        <v>1682</v>
      </c>
      <c r="H106" s="56">
        <v>1797</v>
      </c>
      <c r="I106" s="55">
        <v>2233</v>
      </c>
      <c r="J106" s="54" t="s">
        <v>639</v>
      </c>
      <c r="K106" s="54">
        <v>1454</v>
      </c>
    </row>
    <row r="107" spans="1:11" s="38" customFormat="1" ht="29.25" customHeight="1">
      <c r="A107" s="53">
        <v>3102</v>
      </c>
      <c r="B107" s="45" t="s">
        <v>445</v>
      </c>
      <c r="C107" s="52">
        <v>1163</v>
      </c>
      <c r="D107" s="51">
        <v>1323</v>
      </c>
      <c r="E107" s="50">
        <v>1417</v>
      </c>
      <c r="F107" s="49">
        <v>1451</v>
      </c>
      <c r="G107" s="50">
        <v>1554</v>
      </c>
      <c r="H107" s="49">
        <v>1660</v>
      </c>
      <c r="I107" s="48">
        <v>2063</v>
      </c>
      <c r="J107" s="47">
        <v>1213</v>
      </c>
      <c r="K107" s="47">
        <v>1454</v>
      </c>
    </row>
    <row r="108" spans="1:11" s="38" customFormat="1" ht="29.25" customHeight="1">
      <c r="A108" s="53">
        <v>3103</v>
      </c>
      <c r="B108" s="45" t="s">
        <v>444</v>
      </c>
      <c r="C108" s="52" t="s">
        <v>111</v>
      </c>
      <c r="D108" s="51" t="s">
        <v>111</v>
      </c>
      <c r="E108" s="50" t="s">
        <v>111</v>
      </c>
      <c r="F108" s="49" t="s">
        <v>111</v>
      </c>
      <c r="G108" s="50" t="s">
        <v>111</v>
      </c>
      <c r="H108" s="49" t="s">
        <v>111</v>
      </c>
      <c r="I108" s="48" t="s">
        <v>111</v>
      </c>
      <c r="J108" s="47" t="s">
        <v>639</v>
      </c>
      <c r="K108" s="47" t="s">
        <v>111</v>
      </c>
    </row>
    <row r="109" spans="1:11" s="38" customFormat="1" ht="29.25" customHeight="1">
      <c r="A109" s="53">
        <v>3104</v>
      </c>
      <c r="B109" s="45" t="s">
        <v>443</v>
      </c>
      <c r="C109" s="52">
        <v>1252</v>
      </c>
      <c r="D109" s="51">
        <v>1425</v>
      </c>
      <c r="E109" s="50">
        <v>1525</v>
      </c>
      <c r="F109" s="49">
        <v>1562</v>
      </c>
      <c r="G109" s="50">
        <v>1673</v>
      </c>
      <c r="H109" s="49">
        <v>1787</v>
      </c>
      <c r="I109" s="48">
        <v>2221</v>
      </c>
      <c r="J109" s="47" t="s">
        <v>639</v>
      </c>
      <c r="K109" s="47">
        <v>1449</v>
      </c>
    </row>
    <row r="110" spans="1:11" s="38" customFormat="1" ht="29.25" customHeight="1">
      <c r="A110" s="53">
        <v>3105</v>
      </c>
      <c r="B110" s="45" t="s">
        <v>442</v>
      </c>
      <c r="C110" s="93" t="s">
        <v>111</v>
      </c>
      <c r="D110" s="51" t="s">
        <v>111</v>
      </c>
      <c r="E110" s="50" t="s">
        <v>111</v>
      </c>
      <c r="F110" s="49" t="s">
        <v>111</v>
      </c>
      <c r="G110" s="50" t="s">
        <v>111</v>
      </c>
      <c r="H110" s="49" t="s">
        <v>111</v>
      </c>
      <c r="I110" s="48" t="s">
        <v>111</v>
      </c>
      <c r="J110" s="47" t="s">
        <v>639</v>
      </c>
      <c r="K110" s="47" t="s">
        <v>111</v>
      </c>
    </row>
    <row r="111" spans="1:11" s="38" customFormat="1" ht="29.25" customHeight="1">
      <c r="A111" s="53">
        <v>3106</v>
      </c>
      <c r="B111" s="45" t="s">
        <v>441</v>
      </c>
      <c r="C111" s="52">
        <v>1212</v>
      </c>
      <c r="D111" s="51">
        <v>1379</v>
      </c>
      <c r="E111" s="50">
        <v>1476</v>
      </c>
      <c r="F111" s="49">
        <v>1513</v>
      </c>
      <c r="G111" s="50">
        <v>1619</v>
      </c>
      <c r="H111" s="49">
        <v>1730</v>
      </c>
      <c r="I111" s="48">
        <v>2150</v>
      </c>
      <c r="J111" s="47" t="s">
        <v>639</v>
      </c>
      <c r="K111" s="47">
        <v>1382</v>
      </c>
    </row>
    <row r="112" spans="1:11" s="38" customFormat="1" ht="29.25" customHeight="1">
      <c r="A112" s="53">
        <v>3107</v>
      </c>
      <c r="B112" s="45" t="s">
        <v>440</v>
      </c>
      <c r="C112" s="52">
        <v>1270</v>
      </c>
      <c r="D112" s="51">
        <v>1445</v>
      </c>
      <c r="E112" s="50">
        <v>1547</v>
      </c>
      <c r="F112" s="49">
        <v>1585</v>
      </c>
      <c r="G112" s="50">
        <v>1697</v>
      </c>
      <c r="H112" s="49">
        <v>1812</v>
      </c>
      <c r="I112" s="48">
        <v>2253</v>
      </c>
      <c r="J112" s="47">
        <v>1417</v>
      </c>
      <c r="K112" s="47">
        <v>1579</v>
      </c>
    </row>
    <row r="113" spans="1:11" s="38" customFormat="1" ht="29.25" customHeight="1">
      <c r="A113" s="66">
        <v>3199</v>
      </c>
      <c r="B113" s="45" t="s">
        <v>439</v>
      </c>
      <c r="C113" s="65">
        <v>1263</v>
      </c>
      <c r="D113" s="64">
        <v>1437</v>
      </c>
      <c r="E113" s="63">
        <v>1538</v>
      </c>
      <c r="F113" s="62">
        <v>1576</v>
      </c>
      <c r="G113" s="63">
        <v>1687</v>
      </c>
      <c r="H113" s="62">
        <v>1802</v>
      </c>
      <c r="I113" s="61">
        <v>2241</v>
      </c>
      <c r="J113" s="60" t="s">
        <v>639</v>
      </c>
      <c r="K113" s="60">
        <v>1467</v>
      </c>
    </row>
    <row r="114" spans="1:11" s="38" customFormat="1" ht="29.25" customHeight="1">
      <c r="A114" s="45">
        <v>3201</v>
      </c>
      <c r="B114" s="45" t="s">
        <v>438</v>
      </c>
      <c r="C114" s="59">
        <v>1294</v>
      </c>
      <c r="D114" s="58">
        <v>1473</v>
      </c>
      <c r="E114" s="57">
        <v>1576</v>
      </c>
      <c r="F114" s="56">
        <v>1615</v>
      </c>
      <c r="G114" s="57">
        <v>1729</v>
      </c>
      <c r="H114" s="56">
        <v>1847</v>
      </c>
      <c r="I114" s="55">
        <v>2296</v>
      </c>
      <c r="J114" s="54" t="s">
        <v>639</v>
      </c>
      <c r="K114" s="54">
        <v>1479</v>
      </c>
    </row>
    <row r="115" spans="1:11" s="38" customFormat="1" ht="29.25" customHeight="1">
      <c r="A115" s="53">
        <v>3202</v>
      </c>
      <c r="B115" s="45" t="s">
        <v>437</v>
      </c>
      <c r="C115" s="52">
        <v>1219</v>
      </c>
      <c r="D115" s="51">
        <v>1387</v>
      </c>
      <c r="E115" s="50">
        <v>1485</v>
      </c>
      <c r="F115" s="49">
        <v>1521</v>
      </c>
      <c r="G115" s="50">
        <v>1629</v>
      </c>
      <c r="H115" s="49">
        <v>1740</v>
      </c>
      <c r="I115" s="48">
        <v>2163</v>
      </c>
      <c r="J115" s="47" t="s">
        <v>639</v>
      </c>
      <c r="K115" s="47">
        <v>1331</v>
      </c>
    </row>
    <row r="116" spans="1:11" s="38" customFormat="1" ht="29.25" customHeight="1">
      <c r="A116" s="53">
        <v>3203</v>
      </c>
      <c r="B116" s="45" t="s">
        <v>436</v>
      </c>
      <c r="C116" s="52">
        <v>1237</v>
      </c>
      <c r="D116" s="51">
        <v>1408</v>
      </c>
      <c r="E116" s="50">
        <v>1507</v>
      </c>
      <c r="F116" s="49">
        <v>1544</v>
      </c>
      <c r="G116" s="50">
        <v>1653</v>
      </c>
      <c r="H116" s="49">
        <v>1765</v>
      </c>
      <c r="I116" s="48">
        <v>2194</v>
      </c>
      <c r="J116" s="47" t="s">
        <v>639</v>
      </c>
      <c r="K116" s="47">
        <v>1346</v>
      </c>
    </row>
    <row r="117" spans="1:11" s="38" customFormat="1" ht="29.25" customHeight="1">
      <c r="A117" s="45">
        <v>3301</v>
      </c>
      <c r="B117" s="45" t="s">
        <v>435</v>
      </c>
      <c r="C117" s="59">
        <v>1203</v>
      </c>
      <c r="D117" s="58">
        <v>1369</v>
      </c>
      <c r="E117" s="57">
        <v>1465</v>
      </c>
      <c r="F117" s="56">
        <v>1501</v>
      </c>
      <c r="G117" s="57">
        <v>1607</v>
      </c>
      <c r="H117" s="56">
        <v>1717</v>
      </c>
      <c r="I117" s="55">
        <v>2134</v>
      </c>
      <c r="J117" s="54" t="s">
        <v>639</v>
      </c>
      <c r="K117" s="54">
        <v>1377</v>
      </c>
    </row>
    <row r="118" spans="1:11" s="38" customFormat="1" ht="29.25" customHeight="1">
      <c r="A118" s="53">
        <v>3302</v>
      </c>
      <c r="B118" s="45" t="s">
        <v>434</v>
      </c>
      <c r="C118" s="52">
        <v>1328</v>
      </c>
      <c r="D118" s="51">
        <v>1511</v>
      </c>
      <c r="E118" s="50">
        <v>1618</v>
      </c>
      <c r="F118" s="49">
        <v>1657</v>
      </c>
      <c r="G118" s="50">
        <v>1774</v>
      </c>
      <c r="H118" s="49">
        <v>1895</v>
      </c>
      <c r="I118" s="48">
        <v>2356</v>
      </c>
      <c r="J118" s="47" t="s">
        <v>639</v>
      </c>
      <c r="K118" s="47">
        <v>1537</v>
      </c>
    </row>
    <row r="119" spans="1:11" s="38" customFormat="1" ht="29.25" customHeight="1">
      <c r="A119" s="53">
        <v>3303</v>
      </c>
      <c r="B119" s="45" t="s">
        <v>433</v>
      </c>
      <c r="C119" s="52">
        <v>1334</v>
      </c>
      <c r="D119" s="51">
        <v>1518</v>
      </c>
      <c r="E119" s="50">
        <v>1625</v>
      </c>
      <c r="F119" s="49">
        <v>1665</v>
      </c>
      <c r="G119" s="50">
        <v>1782</v>
      </c>
      <c r="H119" s="49">
        <v>1904</v>
      </c>
      <c r="I119" s="48">
        <v>2367</v>
      </c>
      <c r="J119" s="47" t="s">
        <v>639</v>
      </c>
      <c r="K119" s="47">
        <v>1580</v>
      </c>
    </row>
    <row r="120" spans="1:11" s="38" customFormat="1" ht="29.25" customHeight="1">
      <c r="A120" s="45">
        <v>3401</v>
      </c>
      <c r="B120" s="45" t="s">
        <v>432</v>
      </c>
      <c r="C120" s="59">
        <v>1122</v>
      </c>
      <c r="D120" s="58">
        <v>1277</v>
      </c>
      <c r="E120" s="57">
        <v>1367</v>
      </c>
      <c r="F120" s="56">
        <v>1400</v>
      </c>
      <c r="G120" s="57">
        <v>1499</v>
      </c>
      <c r="H120" s="56">
        <v>1601</v>
      </c>
      <c r="I120" s="55">
        <v>1990</v>
      </c>
      <c r="J120" s="54" t="s">
        <v>639</v>
      </c>
      <c r="K120" s="54">
        <v>1244</v>
      </c>
    </row>
    <row r="121" spans="1:11" s="38" customFormat="1" ht="29.25" customHeight="1">
      <c r="A121" s="53">
        <v>3402</v>
      </c>
      <c r="B121" s="45" t="s">
        <v>431</v>
      </c>
      <c r="C121" s="52">
        <v>1315</v>
      </c>
      <c r="D121" s="51">
        <v>1496</v>
      </c>
      <c r="E121" s="50">
        <v>1602</v>
      </c>
      <c r="F121" s="49">
        <v>1641</v>
      </c>
      <c r="G121" s="50">
        <v>1757</v>
      </c>
      <c r="H121" s="49">
        <v>1877</v>
      </c>
      <c r="I121" s="48">
        <v>2333</v>
      </c>
      <c r="J121" s="47" t="s">
        <v>639</v>
      </c>
      <c r="K121" s="47">
        <v>1537</v>
      </c>
    </row>
    <row r="122" spans="1:11" s="38" customFormat="1" ht="29.25" customHeight="1">
      <c r="A122" s="53">
        <v>3403</v>
      </c>
      <c r="B122" s="45" t="s">
        <v>430</v>
      </c>
      <c r="C122" s="52">
        <v>1157</v>
      </c>
      <c r="D122" s="51">
        <v>1317</v>
      </c>
      <c r="E122" s="50">
        <v>1409</v>
      </c>
      <c r="F122" s="49">
        <v>1444</v>
      </c>
      <c r="G122" s="50">
        <v>1546</v>
      </c>
      <c r="H122" s="49">
        <v>1651</v>
      </c>
      <c r="I122" s="48">
        <v>2053</v>
      </c>
      <c r="J122" s="47" t="s">
        <v>639</v>
      </c>
      <c r="K122" s="47">
        <v>1290</v>
      </c>
    </row>
    <row r="123" spans="1:11" s="38" customFormat="1" ht="29.25" customHeight="1">
      <c r="A123" s="45">
        <v>3501</v>
      </c>
      <c r="B123" s="45" t="s">
        <v>429</v>
      </c>
      <c r="C123" s="59">
        <v>1327</v>
      </c>
      <c r="D123" s="58">
        <v>1510</v>
      </c>
      <c r="E123" s="57">
        <v>1616</v>
      </c>
      <c r="F123" s="56">
        <v>1656</v>
      </c>
      <c r="G123" s="57">
        <v>1773</v>
      </c>
      <c r="H123" s="56">
        <v>1894</v>
      </c>
      <c r="I123" s="55">
        <v>2354</v>
      </c>
      <c r="J123" s="54" t="s">
        <v>639</v>
      </c>
      <c r="K123" s="54">
        <v>1584</v>
      </c>
    </row>
    <row r="124" spans="1:11" s="38" customFormat="1" ht="29.25" customHeight="1">
      <c r="A124" s="66">
        <v>3599</v>
      </c>
      <c r="B124" s="45" t="s">
        <v>428</v>
      </c>
      <c r="C124" s="65">
        <v>1226</v>
      </c>
      <c r="D124" s="64">
        <v>1395</v>
      </c>
      <c r="E124" s="63">
        <v>1493</v>
      </c>
      <c r="F124" s="62">
        <v>1530</v>
      </c>
      <c r="G124" s="63">
        <v>1638</v>
      </c>
      <c r="H124" s="62">
        <v>1750</v>
      </c>
      <c r="I124" s="61">
        <v>2175</v>
      </c>
      <c r="J124" s="60" t="s">
        <v>639</v>
      </c>
      <c r="K124" s="60">
        <v>1403</v>
      </c>
    </row>
    <row r="125" spans="1:11" s="38" customFormat="1" ht="29.25" customHeight="1">
      <c r="A125" s="45">
        <v>3601</v>
      </c>
      <c r="B125" s="45" t="s">
        <v>427</v>
      </c>
      <c r="C125" s="59">
        <v>1243</v>
      </c>
      <c r="D125" s="58">
        <v>1415</v>
      </c>
      <c r="E125" s="57">
        <v>1514</v>
      </c>
      <c r="F125" s="56">
        <v>1551</v>
      </c>
      <c r="G125" s="57">
        <v>1661</v>
      </c>
      <c r="H125" s="56">
        <v>1774</v>
      </c>
      <c r="I125" s="55">
        <v>2205</v>
      </c>
      <c r="J125" s="54" t="s">
        <v>639</v>
      </c>
      <c r="K125" s="54">
        <v>1411</v>
      </c>
    </row>
    <row r="126" spans="1:11" s="38" customFormat="1" ht="29.25" customHeight="1">
      <c r="A126" s="53">
        <v>3602</v>
      </c>
      <c r="B126" s="45" t="s">
        <v>426</v>
      </c>
      <c r="C126" s="52">
        <v>1289</v>
      </c>
      <c r="D126" s="51">
        <v>1467</v>
      </c>
      <c r="E126" s="50">
        <v>1570</v>
      </c>
      <c r="F126" s="49">
        <v>1609</v>
      </c>
      <c r="G126" s="50">
        <v>1722</v>
      </c>
      <c r="H126" s="49">
        <v>1839</v>
      </c>
      <c r="I126" s="48">
        <v>2287</v>
      </c>
      <c r="J126" s="47" t="s">
        <v>639</v>
      </c>
      <c r="K126" s="47">
        <v>1475</v>
      </c>
    </row>
    <row r="127" spans="1:11" s="38" customFormat="1" ht="29.25" customHeight="1">
      <c r="A127" s="53">
        <v>3603</v>
      </c>
      <c r="B127" s="45" t="s">
        <v>425</v>
      </c>
      <c r="C127" s="52">
        <v>1169</v>
      </c>
      <c r="D127" s="51">
        <v>1330</v>
      </c>
      <c r="E127" s="50">
        <v>1424</v>
      </c>
      <c r="F127" s="49">
        <v>1459</v>
      </c>
      <c r="G127" s="50">
        <v>1562</v>
      </c>
      <c r="H127" s="49">
        <v>1668</v>
      </c>
      <c r="I127" s="48">
        <v>2074</v>
      </c>
      <c r="J127" s="47" t="s">
        <v>639</v>
      </c>
      <c r="K127" s="47">
        <v>1299</v>
      </c>
    </row>
    <row r="128" spans="1:11" s="38" customFormat="1" ht="29.25" customHeight="1">
      <c r="A128" s="53">
        <v>3604</v>
      </c>
      <c r="B128" s="45" t="s">
        <v>424</v>
      </c>
      <c r="C128" s="52">
        <v>1233</v>
      </c>
      <c r="D128" s="51">
        <v>1403</v>
      </c>
      <c r="E128" s="50">
        <v>1502</v>
      </c>
      <c r="F128" s="49">
        <v>1539</v>
      </c>
      <c r="G128" s="50">
        <v>1647</v>
      </c>
      <c r="H128" s="49">
        <v>1759</v>
      </c>
      <c r="I128" s="48">
        <v>2187</v>
      </c>
      <c r="J128" s="47" t="s">
        <v>639</v>
      </c>
      <c r="K128" s="47">
        <v>1421</v>
      </c>
    </row>
    <row r="129" spans="1:11" s="38" customFormat="1" ht="29.25" customHeight="1">
      <c r="A129" s="45">
        <v>3701</v>
      </c>
      <c r="B129" s="45" t="s">
        <v>423</v>
      </c>
      <c r="C129" s="59">
        <v>1071</v>
      </c>
      <c r="D129" s="58">
        <v>1219</v>
      </c>
      <c r="E129" s="57">
        <v>1304</v>
      </c>
      <c r="F129" s="56">
        <v>1337</v>
      </c>
      <c r="G129" s="57">
        <v>1431</v>
      </c>
      <c r="H129" s="56">
        <v>1528</v>
      </c>
      <c r="I129" s="55">
        <v>1900</v>
      </c>
      <c r="J129" s="54" t="s">
        <v>639</v>
      </c>
      <c r="K129" s="54">
        <v>1174</v>
      </c>
    </row>
    <row r="130" spans="1:11" s="38" customFormat="1" ht="29.25" customHeight="1">
      <c r="A130" s="53">
        <v>3702</v>
      </c>
      <c r="B130" s="45" t="s">
        <v>422</v>
      </c>
      <c r="C130" s="52">
        <v>1057</v>
      </c>
      <c r="D130" s="51">
        <v>1203</v>
      </c>
      <c r="E130" s="50">
        <v>1287</v>
      </c>
      <c r="F130" s="49">
        <v>1319</v>
      </c>
      <c r="G130" s="50">
        <v>1412</v>
      </c>
      <c r="H130" s="49">
        <v>1508</v>
      </c>
      <c r="I130" s="48">
        <v>1875</v>
      </c>
      <c r="J130" s="47" t="s">
        <v>639</v>
      </c>
      <c r="K130" s="47">
        <v>1151</v>
      </c>
    </row>
    <row r="131" spans="1:11" s="38" customFormat="1" ht="29.25" customHeight="1" thickBot="1">
      <c r="A131" s="53">
        <v>3703</v>
      </c>
      <c r="B131" s="45" t="s">
        <v>421</v>
      </c>
      <c r="C131" s="52">
        <v>1107</v>
      </c>
      <c r="D131" s="51">
        <v>1260</v>
      </c>
      <c r="E131" s="50">
        <v>1348</v>
      </c>
      <c r="F131" s="49">
        <v>1382</v>
      </c>
      <c r="G131" s="50">
        <v>1479</v>
      </c>
      <c r="H131" s="49">
        <v>1580</v>
      </c>
      <c r="I131" s="48">
        <v>1964</v>
      </c>
      <c r="J131" s="47" t="s">
        <v>639</v>
      </c>
      <c r="K131" s="47">
        <v>1207</v>
      </c>
    </row>
    <row r="132" spans="1:11" s="38" customFormat="1" ht="29.25" customHeight="1">
      <c r="A132" s="87">
        <v>3801</v>
      </c>
      <c r="B132" s="45" t="s">
        <v>420</v>
      </c>
      <c r="C132" s="86">
        <v>1156</v>
      </c>
      <c r="D132" s="85">
        <v>1316</v>
      </c>
      <c r="E132" s="84">
        <v>1408</v>
      </c>
      <c r="F132" s="83">
        <v>1443</v>
      </c>
      <c r="G132" s="84">
        <v>1544</v>
      </c>
      <c r="H132" s="83">
        <v>1650</v>
      </c>
      <c r="I132" s="82">
        <v>2051</v>
      </c>
      <c r="J132" s="81" t="s">
        <v>639</v>
      </c>
      <c r="K132" s="81">
        <v>1271</v>
      </c>
    </row>
    <row r="133" spans="1:11" s="38" customFormat="1" ht="29.25" customHeight="1">
      <c r="A133" s="53">
        <v>3802</v>
      </c>
      <c r="B133" s="45" t="s">
        <v>419</v>
      </c>
      <c r="C133" s="52">
        <v>1081</v>
      </c>
      <c r="D133" s="51">
        <v>1230</v>
      </c>
      <c r="E133" s="50">
        <v>1317</v>
      </c>
      <c r="F133" s="49">
        <v>1349</v>
      </c>
      <c r="G133" s="50">
        <v>1444</v>
      </c>
      <c r="H133" s="49">
        <v>1543</v>
      </c>
      <c r="I133" s="48">
        <v>1918</v>
      </c>
      <c r="J133" s="47" t="s">
        <v>639</v>
      </c>
      <c r="K133" s="47">
        <v>1253</v>
      </c>
    </row>
    <row r="134" spans="1:11" s="38" customFormat="1" ht="29.25" customHeight="1">
      <c r="A134" s="53">
        <v>3803</v>
      </c>
      <c r="B134" s="45" t="s">
        <v>418</v>
      </c>
      <c r="C134" s="52">
        <v>1245</v>
      </c>
      <c r="D134" s="51">
        <v>1417</v>
      </c>
      <c r="E134" s="50">
        <v>1516</v>
      </c>
      <c r="F134" s="49">
        <v>1554</v>
      </c>
      <c r="G134" s="50">
        <v>1663</v>
      </c>
      <c r="H134" s="49">
        <v>1777</v>
      </c>
      <c r="I134" s="48">
        <v>2209</v>
      </c>
      <c r="J134" s="47" t="s">
        <v>639</v>
      </c>
      <c r="K134" s="47">
        <v>1462</v>
      </c>
    </row>
    <row r="135" spans="1:11" s="38" customFormat="1" ht="29.25" customHeight="1" thickBot="1">
      <c r="A135" s="46">
        <v>3899</v>
      </c>
      <c r="B135" s="45" t="s">
        <v>417</v>
      </c>
      <c r="C135" s="44">
        <v>1339</v>
      </c>
      <c r="D135" s="43">
        <v>1524</v>
      </c>
      <c r="E135" s="42">
        <v>1631</v>
      </c>
      <c r="F135" s="41">
        <v>1671</v>
      </c>
      <c r="G135" s="42">
        <v>1789</v>
      </c>
      <c r="H135" s="41">
        <v>1911</v>
      </c>
      <c r="I135" s="40">
        <v>2375</v>
      </c>
      <c r="J135" s="39" t="s">
        <v>639</v>
      </c>
      <c r="K135" s="39">
        <v>1651</v>
      </c>
    </row>
    <row r="136" spans="1:11" s="38" customFormat="1" ht="29.25" customHeight="1">
      <c r="A136" s="45">
        <v>3901</v>
      </c>
      <c r="B136" s="45" t="s">
        <v>416</v>
      </c>
      <c r="C136" s="59">
        <v>1226</v>
      </c>
      <c r="D136" s="58">
        <v>1395</v>
      </c>
      <c r="E136" s="57">
        <v>1493</v>
      </c>
      <c r="F136" s="56">
        <v>1530</v>
      </c>
      <c r="G136" s="57">
        <v>1638</v>
      </c>
      <c r="H136" s="56">
        <v>1750</v>
      </c>
      <c r="I136" s="55">
        <v>2175</v>
      </c>
      <c r="J136" s="54" t="s">
        <v>639</v>
      </c>
      <c r="K136" s="54">
        <v>1458</v>
      </c>
    </row>
    <row r="137" spans="1:11" s="38" customFormat="1" ht="29.25" customHeight="1" thickBot="1">
      <c r="A137" s="46">
        <v>3902</v>
      </c>
      <c r="B137" s="45" t="s">
        <v>415</v>
      </c>
      <c r="C137" s="44">
        <v>1188</v>
      </c>
      <c r="D137" s="43">
        <v>1352</v>
      </c>
      <c r="E137" s="42">
        <v>1447</v>
      </c>
      <c r="F137" s="41">
        <v>1483</v>
      </c>
      <c r="G137" s="42">
        <v>1587</v>
      </c>
      <c r="H137" s="41">
        <v>1695</v>
      </c>
      <c r="I137" s="40">
        <v>2108</v>
      </c>
      <c r="J137" s="39" t="s">
        <v>639</v>
      </c>
      <c r="K137" s="39">
        <v>1347</v>
      </c>
    </row>
    <row r="138" spans="1:11" s="38" customFormat="1" ht="29.25" customHeight="1">
      <c r="A138" s="45">
        <v>4001</v>
      </c>
      <c r="B138" s="45" t="s">
        <v>414</v>
      </c>
      <c r="C138" s="59">
        <v>1208</v>
      </c>
      <c r="D138" s="58">
        <v>1375</v>
      </c>
      <c r="E138" s="57">
        <v>1471</v>
      </c>
      <c r="F138" s="56">
        <v>1508</v>
      </c>
      <c r="G138" s="57">
        <v>1614</v>
      </c>
      <c r="H138" s="56">
        <v>1724</v>
      </c>
      <c r="I138" s="55">
        <v>2143</v>
      </c>
      <c r="J138" s="54" t="s">
        <v>639</v>
      </c>
      <c r="K138" s="54">
        <v>1374</v>
      </c>
    </row>
    <row r="139" spans="1:11" s="38" customFormat="1" ht="29.25" customHeight="1">
      <c r="A139" s="53">
        <v>4002</v>
      </c>
      <c r="B139" s="45" t="s">
        <v>413</v>
      </c>
      <c r="C139" s="52">
        <v>1317</v>
      </c>
      <c r="D139" s="51">
        <v>1499</v>
      </c>
      <c r="E139" s="50">
        <v>1604</v>
      </c>
      <c r="F139" s="49">
        <v>1644</v>
      </c>
      <c r="G139" s="50">
        <v>1760</v>
      </c>
      <c r="H139" s="49">
        <v>1879</v>
      </c>
      <c r="I139" s="48">
        <v>2336</v>
      </c>
      <c r="J139" s="47" t="s">
        <v>639</v>
      </c>
      <c r="K139" s="47">
        <v>1525</v>
      </c>
    </row>
    <row r="140" spans="1:11" s="38" customFormat="1" ht="29.25" customHeight="1">
      <c r="A140" s="66">
        <v>4099</v>
      </c>
      <c r="B140" s="45" t="s">
        <v>412</v>
      </c>
      <c r="C140" s="65">
        <v>1307</v>
      </c>
      <c r="D140" s="64">
        <v>1487</v>
      </c>
      <c r="E140" s="63">
        <v>1592</v>
      </c>
      <c r="F140" s="62">
        <v>1631</v>
      </c>
      <c r="G140" s="63">
        <v>1746</v>
      </c>
      <c r="H140" s="62">
        <v>1865</v>
      </c>
      <c r="I140" s="61">
        <v>2319</v>
      </c>
      <c r="J140" s="60" t="s">
        <v>639</v>
      </c>
      <c r="K140" s="60">
        <v>1498</v>
      </c>
    </row>
    <row r="141" spans="1:11" s="38" customFormat="1" ht="29.25" customHeight="1">
      <c r="A141" s="45">
        <v>4101</v>
      </c>
      <c r="B141" s="45" t="s">
        <v>411</v>
      </c>
      <c r="C141" s="59">
        <v>1141</v>
      </c>
      <c r="D141" s="58">
        <v>1298</v>
      </c>
      <c r="E141" s="57">
        <v>1390</v>
      </c>
      <c r="F141" s="56">
        <v>1424</v>
      </c>
      <c r="G141" s="57">
        <v>1524</v>
      </c>
      <c r="H141" s="56">
        <v>1628</v>
      </c>
      <c r="I141" s="55">
        <v>2024</v>
      </c>
      <c r="J141" s="54" t="s">
        <v>639</v>
      </c>
      <c r="K141" s="54">
        <v>1291</v>
      </c>
    </row>
    <row r="142" spans="1:11" s="38" customFormat="1" ht="29.25" customHeight="1">
      <c r="A142" s="53">
        <v>4102</v>
      </c>
      <c r="B142" s="45" t="s">
        <v>410</v>
      </c>
      <c r="C142" s="52">
        <v>1304</v>
      </c>
      <c r="D142" s="51">
        <v>1484</v>
      </c>
      <c r="E142" s="50">
        <v>1588</v>
      </c>
      <c r="F142" s="49">
        <v>1627</v>
      </c>
      <c r="G142" s="50">
        <v>1742</v>
      </c>
      <c r="H142" s="49">
        <v>1861</v>
      </c>
      <c r="I142" s="48">
        <v>2313</v>
      </c>
      <c r="J142" s="47" t="s">
        <v>639</v>
      </c>
      <c r="K142" s="47">
        <v>1566</v>
      </c>
    </row>
    <row r="143" spans="1:11" s="38" customFormat="1" ht="29.25" customHeight="1">
      <c r="A143" s="66">
        <v>4199</v>
      </c>
      <c r="B143" s="45" t="s">
        <v>409</v>
      </c>
      <c r="C143" s="65">
        <v>1171</v>
      </c>
      <c r="D143" s="64">
        <v>1333</v>
      </c>
      <c r="E143" s="63">
        <v>1426</v>
      </c>
      <c r="F143" s="62">
        <v>1461</v>
      </c>
      <c r="G143" s="63">
        <v>1564</v>
      </c>
      <c r="H143" s="62">
        <v>1671</v>
      </c>
      <c r="I143" s="61">
        <v>2077</v>
      </c>
      <c r="J143" s="60" t="s">
        <v>639</v>
      </c>
      <c r="K143" s="60">
        <v>1325</v>
      </c>
    </row>
    <row r="144" spans="1:11" s="38" customFormat="1" ht="29.25" customHeight="1">
      <c r="A144" s="45">
        <v>4201</v>
      </c>
      <c r="B144" s="45" t="s">
        <v>408</v>
      </c>
      <c r="C144" s="59">
        <v>1158</v>
      </c>
      <c r="D144" s="58">
        <v>1318</v>
      </c>
      <c r="E144" s="57">
        <v>1410</v>
      </c>
      <c r="F144" s="56">
        <v>1445</v>
      </c>
      <c r="G144" s="57">
        <v>1547</v>
      </c>
      <c r="H144" s="56">
        <v>1652</v>
      </c>
      <c r="I144" s="55">
        <v>2054</v>
      </c>
      <c r="J144" s="54" t="s">
        <v>639</v>
      </c>
      <c r="K144" s="54">
        <v>1265</v>
      </c>
    </row>
    <row r="145" spans="1:11" s="38" customFormat="1" ht="29.25" customHeight="1">
      <c r="A145" s="53">
        <v>4202</v>
      </c>
      <c r="B145" s="45" t="s">
        <v>407</v>
      </c>
      <c r="C145" s="52">
        <v>1306</v>
      </c>
      <c r="D145" s="51">
        <v>1486</v>
      </c>
      <c r="E145" s="50">
        <v>1591</v>
      </c>
      <c r="F145" s="49">
        <v>1630</v>
      </c>
      <c r="G145" s="50">
        <v>1745</v>
      </c>
      <c r="H145" s="49">
        <v>1864</v>
      </c>
      <c r="I145" s="48">
        <v>2317</v>
      </c>
      <c r="J145" s="47" t="s">
        <v>639</v>
      </c>
      <c r="K145" s="47">
        <v>1477</v>
      </c>
    </row>
    <row r="146" spans="1:11" s="38" customFormat="1" ht="29.25" customHeight="1" thickBot="1">
      <c r="A146" s="46">
        <v>4203</v>
      </c>
      <c r="B146" s="45" t="s">
        <v>406</v>
      </c>
      <c r="C146" s="44">
        <v>1124</v>
      </c>
      <c r="D146" s="43">
        <v>1279</v>
      </c>
      <c r="E146" s="42">
        <v>1369</v>
      </c>
      <c r="F146" s="41">
        <v>1403</v>
      </c>
      <c r="G146" s="42">
        <v>1502</v>
      </c>
      <c r="H146" s="41">
        <v>1604</v>
      </c>
      <c r="I146" s="40">
        <v>1994</v>
      </c>
      <c r="J146" s="39" t="s">
        <v>639</v>
      </c>
      <c r="K146" s="39">
        <v>1172</v>
      </c>
    </row>
    <row r="147" spans="1:11" s="38" customFormat="1" ht="43.5" customHeight="1">
      <c r="A147" s="90">
        <v>4301</v>
      </c>
      <c r="B147" s="45" t="s">
        <v>405</v>
      </c>
      <c r="C147" s="59">
        <v>1206</v>
      </c>
      <c r="D147" s="58">
        <v>1372</v>
      </c>
      <c r="E147" s="57">
        <v>1469</v>
      </c>
      <c r="F147" s="56">
        <v>1505</v>
      </c>
      <c r="G147" s="57">
        <v>1611</v>
      </c>
      <c r="H147" s="56">
        <v>1721</v>
      </c>
      <c r="I147" s="55">
        <v>2139</v>
      </c>
      <c r="J147" s="54" t="s">
        <v>639</v>
      </c>
      <c r="K147" s="54">
        <v>1426</v>
      </c>
    </row>
    <row r="148" spans="1:11" s="38" customFormat="1" ht="29.25" customHeight="1">
      <c r="A148" s="53">
        <v>4302</v>
      </c>
      <c r="B148" s="45" t="s">
        <v>404</v>
      </c>
      <c r="C148" s="52">
        <v>1166</v>
      </c>
      <c r="D148" s="51">
        <v>1327</v>
      </c>
      <c r="E148" s="50">
        <v>1420</v>
      </c>
      <c r="F148" s="49">
        <v>1455</v>
      </c>
      <c r="G148" s="50">
        <v>1558</v>
      </c>
      <c r="H148" s="49">
        <v>1664</v>
      </c>
      <c r="I148" s="48">
        <v>2068</v>
      </c>
      <c r="J148" s="47" t="s">
        <v>639</v>
      </c>
      <c r="K148" s="47">
        <v>1407</v>
      </c>
    </row>
    <row r="149" spans="1:11" s="38" customFormat="1" ht="29.25" customHeight="1">
      <c r="A149" s="66">
        <v>4399</v>
      </c>
      <c r="B149" s="45" t="s">
        <v>403</v>
      </c>
      <c r="C149" s="65">
        <v>1237</v>
      </c>
      <c r="D149" s="64">
        <v>1408</v>
      </c>
      <c r="E149" s="63">
        <v>1507</v>
      </c>
      <c r="F149" s="62">
        <v>1544</v>
      </c>
      <c r="G149" s="63">
        <v>1653</v>
      </c>
      <c r="H149" s="62">
        <v>1765</v>
      </c>
      <c r="I149" s="61">
        <v>2194</v>
      </c>
      <c r="J149" s="60" t="s">
        <v>639</v>
      </c>
      <c r="K149" s="60">
        <v>1446</v>
      </c>
    </row>
    <row r="150" spans="1:11" s="38" customFormat="1" ht="29.25" customHeight="1">
      <c r="A150" s="45">
        <v>4401</v>
      </c>
      <c r="B150" s="45" t="s">
        <v>402</v>
      </c>
      <c r="C150" s="59">
        <v>1336</v>
      </c>
      <c r="D150" s="58">
        <v>1520</v>
      </c>
      <c r="E150" s="57">
        <v>1627</v>
      </c>
      <c r="F150" s="56">
        <v>1667</v>
      </c>
      <c r="G150" s="57">
        <v>1785</v>
      </c>
      <c r="H150" s="56">
        <v>1906</v>
      </c>
      <c r="I150" s="55">
        <v>2370</v>
      </c>
      <c r="J150" s="54" t="s">
        <v>639</v>
      </c>
      <c r="K150" s="54">
        <v>1557</v>
      </c>
    </row>
    <row r="151" spans="1:11" s="38" customFormat="1" ht="29.25" customHeight="1">
      <c r="A151" s="66">
        <v>4402</v>
      </c>
      <c r="B151" s="45" t="s">
        <v>401</v>
      </c>
      <c r="C151" s="65">
        <v>1411</v>
      </c>
      <c r="D151" s="64">
        <v>1606</v>
      </c>
      <c r="E151" s="63">
        <v>1719</v>
      </c>
      <c r="F151" s="62">
        <v>1761</v>
      </c>
      <c r="G151" s="63">
        <v>1885</v>
      </c>
      <c r="H151" s="62">
        <v>2013</v>
      </c>
      <c r="I151" s="61">
        <v>2503</v>
      </c>
      <c r="J151" s="60" t="s">
        <v>639</v>
      </c>
      <c r="K151" s="60">
        <v>1684</v>
      </c>
    </row>
    <row r="152" spans="1:11" s="38" customFormat="1" ht="29.25" customHeight="1">
      <c r="A152" s="45">
        <v>4501</v>
      </c>
      <c r="B152" s="45" t="s">
        <v>400</v>
      </c>
      <c r="C152" s="59">
        <v>1236</v>
      </c>
      <c r="D152" s="58">
        <v>1407</v>
      </c>
      <c r="E152" s="57">
        <v>1505</v>
      </c>
      <c r="F152" s="56">
        <v>1543</v>
      </c>
      <c r="G152" s="57">
        <v>1651</v>
      </c>
      <c r="H152" s="56">
        <v>1764</v>
      </c>
      <c r="I152" s="55">
        <v>2193</v>
      </c>
      <c r="J152" s="54" t="s">
        <v>639</v>
      </c>
      <c r="K152" s="54">
        <v>1475</v>
      </c>
    </row>
    <row r="153" spans="1:11" s="38" customFormat="1" ht="29.25" customHeight="1">
      <c r="A153" s="53">
        <v>4502</v>
      </c>
      <c r="B153" s="45" t="s">
        <v>399</v>
      </c>
      <c r="C153" s="52">
        <v>1207</v>
      </c>
      <c r="D153" s="51">
        <v>1374</v>
      </c>
      <c r="E153" s="50">
        <v>1470</v>
      </c>
      <c r="F153" s="49">
        <v>1506</v>
      </c>
      <c r="G153" s="50">
        <v>1613</v>
      </c>
      <c r="H153" s="49">
        <v>1722</v>
      </c>
      <c r="I153" s="48">
        <v>2141</v>
      </c>
      <c r="J153" s="47" t="s">
        <v>639</v>
      </c>
      <c r="K153" s="47">
        <v>1348</v>
      </c>
    </row>
    <row r="154" spans="1:11" s="38" customFormat="1" ht="29.25" customHeight="1">
      <c r="A154" s="53">
        <v>4503</v>
      </c>
      <c r="B154" s="45" t="s">
        <v>398</v>
      </c>
      <c r="C154" s="52">
        <v>1272</v>
      </c>
      <c r="D154" s="51">
        <v>1448</v>
      </c>
      <c r="E154" s="50">
        <v>1549</v>
      </c>
      <c r="F154" s="49">
        <v>1587</v>
      </c>
      <c r="G154" s="50">
        <v>1699</v>
      </c>
      <c r="H154" s="49">
        <v>1815</v>
      </c>
      <c r="I154" s="48">
        <v>2257</v>
      </c>
      <c r="J154" s="47" t="s">
        <v>639</v>
      </c>
      <c r="K154" s="47">
        <v>1487</v>
      </c>
    </row>
    <row r="155" spans="1:11" s="38" customFormat="1" ht="43.5" customHeight="1">
      <c r="A155" s="89">
        <v>4504</v>
      </c>
      <c r="B155" s="45" t="s">
        <v>397</v>
      </c>
      <c r="C155" s="52">
        <v>1164</v>
      </c>
      <c r="D155" s="51">
        <v>1325</v>
      </c>
      <c r="E155" s="50">
        <v>1418</v>
      </c>
      <c r="F155" s="49">
        <v>1453</v>
      </c>
      <c r="G155" s="50">
        <v>1555</v>
      </c>
      <c r="H155" s="49">
        <v>1661</v>
      </c>
      <c r="I155" s="48">
        <v>2065</v>
      </c>
      <c r="J155" s="47" t="s">
        <v>639</v>
      </c>
      <c r="K155" s="47">
        <v>1327</v>
      </c>
    </row>
    <row r="156" spans="1:11" s="38" customFormat="1" ht="29.25" customHeight="1">
      <c r="A156" s="53">
        <v>4505</v>
      </c>
      <c r="B156" s="45" t="s">
        <v>396</v>
      </c>
      <c r="C156" s="52">
        <v>1302</v>
      </c>
      <c r="D156" s="51">
        <v>1482</v>
      </c>
      <c r="E156" s="50">
        <v>1586</v>
      </c>
      <c r="F156" s="49">
        <v>1625</v>
      </c>
      <c r="G156" s="50">
        <v>1739</v>
      </c>
      <c r="H156" s="49">
        <v>1858</v>
      </c>
      <c r="I156" s="48">
        <v>2310</v>
      </c>
      <c r="J156" s="47" t="s">
        <v>639</v>
      </c>
      <c r="K156" s="47">
        <v>1563</v>
      </c>
    </row>
    <row r="157" spans="1:11" s="38" customFormat="1" ht="29.25" customHeight="1">
      <c r="A157" s="53">
        <v>4506</v>
      </c>
      <c r="B157" s="45" t="s">
        <v>395</v>
      </c>
      <c r="C157" s="52">
        <v>1230</v>
      </c>
      <c r="D157" s="51">
        <v>1400</v>
      </c>
      <c r="E157" s="50">
        <v>1498</v>
      </c>
      <c r="F157" s="49">
        <v>1535</v>
      </c>
      <c r="G157" s="50">
        <v>1643</v>
      </c>
      <c r="H157" s="49">
        <v>1755</v>
      </c>
      <c r="I157" s="48">
        <v>2182</v>
      </c>
      <c r="J157" s="47" t="s">
        <v>639</v>
      </c>
      <c r="K157" s="47">
        <v>1384</v>
      </c>
    </row>
    <row r="158" spans="1:11" s="38" customFormat="1" ht="29.25" customHeight="1">
      <c r="A158" s="53">
        <v>4507</v>
      </c>
      <c r="B158" s="45" t="s">
        <v>394</v>
      </c>
      <c r="C158" s="52">
        <v>1179</v>
      </c>
      <c r="D158" s="51">
        <v>1342</v>
      </c>
      <c r="E158" s="50">
        <v>1436</v>
      </c>
      <c r="F158" s="49">
        <v>1471</v>
      </c>
      <c r="G158" s="50">
        <v>1575</v>
      </c>
      <c r="H158" s="49">
        <v>1682</v>
      </c>
      <c r="I158" s="48">
        <v>2092</v>
      </c>
      <c r="J158" s="47" t="s">
        <v>639</v>
      </c>
      <c r="K158" s="47">
        <v>1307</v>
      </c>
    </row>
    <row r="159" spans="1:11" s="38" customFormat="1" ht="29.25" customHeight="1">
      <c r="A159" s="53">
        <v>4508</v>
      </c>
      <c r="B159" s="45" t="s">
        <v>393</v>
      </c>
      <c r="C159" s="52">
        <v>1169</v>
      </c>
      <c r="D159" s="51">
        <v>1330</v>
      </c>
      <c r="E159" s="50">
        <v>1424</v>
      </c>
      <c r="F159" s="49">
        <v>1459</v>
      </c>
      <c r="G159" s="50">
        <v>1562</v>
      </c>
      <c r="H159" s="49">
        <v>1668</v>
      </c>
      <c r="I159" s="48">
        <v>2074</v>
      </c>
      <c r="J159" s="47" t="s">
        <v>639</v>
      </c>
      <c r="K159" s="47">
        <v>1392</v>
      </c>
    </row>
    <row r="160" spans="1:11" s="38" customFormat="1" ht="29.25" customHeight="1">
      <c r="A160" s="53">
        <v>4509</v>
      </c>
      <c r="B160" s="45" t="s">
        <v>392</v>
      </c>
      <c r="C160" s="52">
        <v>1205</v>
      </c>
      <c r="D160" s="51">
        <v>1371</v>
      </c>
      <c r="E160" s="50">
        <v>1468</v>
      </c>
      <c r="F160" s="49">
        <v>1504</v>
      </c>
      <c r="G160" s="50">
        <v>1610</v>
      </c>
      <c r="H160" s="49">
        <v>1720</v>
      </c>
      <c r="I160" s="48">
        <v>2138</v>
      </c>
      <c r="J160" s="47" t="s">
        <v>639</v>
      </c>
      <c r="K160" s="47">
        <v>1356</v>
      </c>
    </row>
    <row r="161" spans="1:11" s="38" customFormat="1" ht="29.25" customHeight="1">
      <c r="A161" s="53">
        <v>4510</v>
      </c>
      <c r="B161" s="45" t="s">
        <v>391</v>
      </c>
      <c r="C161" s="52">
        <v>1169</v>
      </c>
      <c r="D161" s="51">
        <v>1330</v>
      </c>
      <c r="E161" s="50">
        <v>1424</v>
      </c>
      <c r="F161" s="49">
        <v>1459</v>
      </c>
      <c r="G161" s="50">
        <v>1562</v>
      </c>
      <c r="H161" s="49">
        <v>1668</v>
      </c>
      <c r="I161" s="48">
        <v>2074</v>
      </c>
      <c r="J161" s="47" t="s">
        <v>639</v>
      </c>
      <c r="K161" s="47">
        <v>1301</v>
      </c>
    </row>
    <row r="162" spans="1:11" s="38" customFormat="1" ht="29.25" customHeight="1">
      <c r="A162" s="53">
        <v>4511</v>
      </c>
      <c r="B162" s="45" t="s">
        <v>390</v>
      </c>
      <c r="C162" s="52">
        <v>1273</v>
      </c>
      <c r="D162" s="51">
        <v>1449</v>
      </c>
      <c r="E162" s="50">
        <v>1551</v>
      </c>
      <c r="F162" s="49">
        <v>1589</v>
      </c>
      <c r="G162" s="50">
        <v>1701</v>
      </c>
      <c r="H162" s="49">
        <v>1817</v>
      </c>
      <c r="I162" s="48">
        <v>2258</v>
      </c>
      <c r="J162" s="47" t="s">
        <v>639</v>
      </c>
      <c r="K162" s="47">
        <v>1455</v>
      </c>
    </row>
    <row r="163" spans="1:11" s="38" customFormat="1" ht="29.25" customHeight="1">
      <c r="A163" s="53">
        <v>4512</v>
      </c>
      <c r="B163" s="45" t="s">
        <v>389</v>
      </c>
      <c r="C163" s="52">
        <v>1226</v>
      </c>
      <c r="D163" s="51">
        <v>1395</v>
      </c>
      <c r="E163" s="50">
        <v>1493</v>
      </c>
      <c r="F163" s="49">
        <v>1530</v>
      </c>
      <c r="G163" s="50">
        <v>1638</v>
      </c>
      <c r="H163" s="49">
        <v>1750</v>
      </c>
      <c r="I163" s="48">
        <v>2175</v>
      </c>
      <c r="J163" s="47" t="s">
        <v>639</v>
      </c>
      <c r="K163" s="47">
        <v>1477</v>
      </c>
    </row>
    <row r="164" spans="1:11" s="38" customFormat="1" ht="29.25" customHeight="1">
      <c r="A164" s="53">
        <v>4513</v>
      </c>
      <c r="B164" s="45" t="s">
        <v>388</v>
      </c>
      <c r="C164" s="52">
        <v>1141</v>
      </c>
      <c r="D164" s="51">
        <v>1298</v>
      </c>
      <c r="E164" s="50">
        <v>1390</v>
      </c>
      <c r="F164" s="49">
        <v>1424</v>
      </c>
      <c r="G164" s="50">
        <v>1524</v>
      </c>
      <c r="H164" s="49">
        <v>1628</v>
      </c>
      <c r="I164" s="48">
        <v>2024</v>
      </c>
      <c r="J164" s="47" t="s">
        <v>639</v>
      </c>
      <c r="K164" s="47">
        <v>1318</v>
      </c>
    </row>
    <row r="165" spans="1:11" s="38" customFormat="1" ht="29.25" customHeight="1">
      <c r="A165" s="53">
        <v>4514</v>
      </c>
      <c r="B165" s="45" t="s">
        <v>387</v>
      </c>
      <c r="C165" s="52">
        <v>1228</v>
      </c>
      <c r="D165" s="51">
        <v>1397</v>
      </c>
      <c r="E165" s="50">
        <v>1496</v>
      </c>
      <c r="F165" s="49">
        <v>1533</v>
      </c>
      <c r="G165" s="50">
        <v>1641</v>
      </c>
      <c r="H165" s="49">
        <v>1752</v>
      </c>
      <c r="I165" s="48">
        <v>2178</v>
      </c>
      <c r="J165" s="47" t="s">
        <v>639</v>
      </c>
      <c r="K165" s="47">
        <v>1376</v>
      </c>
    </row>
    <row r="166" spans="1:11" s="38" customFormat="1" ht="29.25" customHeight="1">
      <c r="A166" s="53">
        <v>4515</v>
      </c>
      <c r="B166" s="45" t="s">
        <v>386</v>
      </c>
      <c r="C166" s="52">
        <v>1228</v>
      </c>
      <c r="D166" s="51">
        <v>1397</v>
      </c>
      <c r="E166" s="50">
        <v>1496</v>
      </c>
      <c r="F166" s="49">
        <v>1533</v>
      </c>
      <c r="G166" s="50">
        <v>1641</v>
      </c>
      <c r="H166" s="49">
        <v>1752</v>
      </c>
      <c r="I166" s="48">
        <v>2178</v>
      </c>
      <c r="J166" s="47" t="s">
        <v>639</v>
      </c>
      <c r="K166" s="47">
        <v>1336</v>
      </c>
    </row>
    <row r="167" spans="1:11" s="38" customFormat="1" ht="29.25" customHeight="1">
      <c r="A167" s="53">
        <v>4516</v>
      </c>
      <c r="B167" s="45" t="s">
        <v>385</v>
      </c>
      <c r="C167" s="52">
        <v>1274</v>
      </c>
      <c r="D167" s="51">
        <v>1450</v>
      </c>
      <c r="E167" s="50">
        <v>1552</v>
      </c>
      <c r="F167" s="49">
        <v>1590</v>
      </c>
      <c r="G167" s="50">
        <v>1702</v>
      </c>
      <c r="H167" s="49">
        <v>1818</v>
      </c>
      <c r="I167" s="48">
        <v>2260</v>
      </c>
      <c r="J167" s="47" t="s">
        <v>639</v>
      </c>
      <c r="K167" s="47">
        <v>1424</v>
      </c>
    </row>
    <row r="168" spans="1:11" s="38" customFormat="1" ht="29.25" customHeight="1">
      <c r="A168" s="45">
        <v>4601</v>
      </c>
      <c r="B168" s="45" t="s">
        <v>384</v>
      </c>
      <c r="C168" s="59">
        <v>1366</v>
      </c>
      <c r="D168" s="58">
        <v>1555</v>
      </c>
      <c r="E168" s="57">
        <v>1664</v>
      </c>
      <c r="F168" s="56">
        <v>1705</v>
      </c>
      <c r="G168" s="57">
        <v>1825</v>
      </c>
      <c r="H168" s="56">
        <v>1949</v>
      </c>
      <c r="I168" s="55">
        <v>2423</v>
      </c>
      <c r="J168" s="54" t="s">
        <v>639</v>
      </c>
      <c r="K168" s="54">
        <v>1563</v>
      </c>
    </row>
    <row r="169" spans="1:11" s="38" customFormat="1" ht="29.25" customHeight="1">
      <c r="A169" s="66">
        <v>4602</v>
      </c>
      <c r="B169" s="45" t="s">
        <v>383</v>
      </c>
      <c r="C169" s="65">
        <v>1309</v>
      </c>
      <c r="D169" s="64">
        <v>1490</v>
      </c>
      <c r="E169" s="63">
        <v>1594</v>
      </c>
      <c r="F169" s="62">
        <v>1634</v>
      </c>
      <c r="G169" s="63">
        <v>1749</v>
      </c>
      <c r="H169" s="62">
        <v>1868</v>
      </c>
      <c r="I169" s="61">
        <v>2322</v>
      </c>
      <c r="J169" s="60" t="s">
        <v>639</v>
      </c>
      <c r="K169" s="60">
        <v>1476</v>
      </c>
    </row>
    <row r="170" spans="1:11" s="38" customFormat="1" ht="29.25" customHeight="1">
      <c r="A170" s="45">
        <v>4701</v>
      </c>
      <c r="B170" s="45" t="s">
        <v>382</v>
      </c>
      <c r="C170" s="59">
        <v>1361</v>
      </c>
      <c r="D170" s="58">
        <v>1549</v>
      </c>
      <c r="E170" s="57">
        <v>1658</v>
      </c>
      <c r="F170" s="56">
        <v>1699</v>
      </c>
      <c r="G170" s="57">
        <v>1818</v>
      </c>
      <c r="H170" s="56">
        <v>1942</v>
      </c>
      <c r="I170" s="55">
        <v>2414</v>
      </c>
      <c r="J170" s="54" t="s">
        <v>639</v>
      </c>
      <c r="K170" s="54">
        <v>1547</v>
      </c>
    </row>
    <row r="171" spans="1:11" s="38" customFormat="1" ht="29.25" customHeight="1">
      <c r="A171" s="53">
        <v>4702</v>
      </c>
      <c r="B171" s="45" t="s">
        <v>381</v>
      </c>
      <c r="C171" s="52">
        <v>1237</v>
      </c>
      <c r="D171" s="51">
        <v>1408</v>
      </c>
      <c r="E171" s="50">
        <v>1507</v>
      </c>
      <c r="F171" s="49">
        <v>1544</v>
      </c>
      <c r="G171" s="50">
        <v>1653</v>
      </c>
      <c r="H171" s="49">
        <v>1765</v>
      </c>
      <c r="I171" s="48">
        <v>2194</v>
      </c>
      <c r="J171" s="47" t="s">
        <v>639</v>
      </c>
      <c r="K171" s="47">
        <v>1589</v>
      </c>
    </row>
    <row r="172" spans="1:11" s="38" customFormat="1" ht="29.25" customHeight="1">
      <c r="A172" s="53">
        <v>4703</v>
      </c>
      <c r="B172" s="45" t="s">
        <v>380</v>
      </c>
      <c r="C172" s="52">
        <v>1174</v>
      </c>
      <c r="D172" s="51">
        <v>1336</v>
      </c>
      <c r="E172" s="50">
        <v>1430</v>
      </c>
      <c r="F172" s="49">
        <v>1465</v>
      </c>
      <c r="G172" s="50">
        <v>1568</v>
      </c>
      <c r="H172" s="49">
        <v>1675</v>
      </c>
      <c r="I172" s="48">
        <v>2083</v>
      </c>
      <c r="J172" s="47" t="s">
        <v>639</v>
      </c>
      <c r="K172" s="47">
        <v>1233</v>
      </c>
    </row>
    <row r="173" spans="1:11" s="38" customFormat="1" ht="29.25" customHeight="1" thickBot="1">
      <c r="A173" s="66">
        <v>4799</v>
      </c>
      <c r="B173" s="45" t="s">
        <v>379</v>
      </c>
      <c r="C173" s="65">
        <v>1276</v>
      </c>
      <c r="D173" s="64">
        <v>1452</v>
      </c>
      <c r="E173" s="63">
        <v>1554</v>
      </c>
      <c r="F173" s="62">
        <v>1592</v>
      </c>
      <c r="G173" s="63">
        <v>1705</v>
      </c>
      <c r="H173" s="62">
        <v>1821</v>
      </c>
      <c r="I173" s="61">
        <v>2264</v>
      </c>
      <c r="J173" s="60" t="s">
        <v>639</v>
      </c>
      <c r="K173" s="60">
        <v>1436</v>
      </c>
    </row>
    <row r="174" spans="1:11" s="38" customFormat="1" ht="29.25" customHeight="1">
      <c r="A174" s="87">
        <v>4801</v>
      </c>
      <c r="B174" s="45" t="s">
        <v>378</v>
      </c>
      <c r="C174" s="86">
        <v>1339</v>
      </c>
      <c r="D174" s="85">
        <v>1524</v>
      </c>
      <c r="E174" s="84">
        <v>1631</v>
      </c>
      <c r="F174" s="83">
        <v>1671</v>
      </c>
      <c r="G174" s="84">
        <v>1789</v>
      </c>
      <c r="H174" s="83">
        <v>1911</v>
      </c>
      <c r="I174" s="82">
        <v>2375</v>
      </c>
      <c r="J174" s="81" t="s">
        <v>639</v>
      </c>
      <c r="K174" s="81">
        <v>1524</v>
      </c>
    </row>
    <row r="175" spans="1:11" s="38" customFormat="1" ht="29.25" customHeight="1">
      <c r="A175" s="53">
        <v>4802</v>
      </c>
      <c r="B175" s="45" t="s">
        <v>377</v>
      </c>
      <c r="C175" s="52">
        <v>1334</v>
      </c>
      <c r="D175" s="51">
        <v>1518</v>
      </c>
      <c r="E175" s="50">
        <v>1625</v>
      </c>
      <c r="F175" s="49">
        <v>1665</v>
      </c>
      <c r="G175" s="50">
        <v>1782</v>
      </c>
      <c r="H175" s="49">
        <v>1904</v>
      </c>
      <c r="I175" s="48">
        <v>2367</v>
      </c>
      <c r="J175" s="47" t="s">
        <v>639</v>
      </c>
      <c r="K175" s="47">
        <v>1567</v>
      </c>
    </row>
    <row r="176" spans="1:11" s="38" customFormat="1" ht="29.25" customHeight="1">
      <c r="A176" s="53">
        <v>4803</v>
      </c>
      <c r="B176" s="45" t="s">
        <v>376</v>
      </c>
      <c r="C176" s="52">
        <v>1401</v>
      </c>
      <c r="D176" s="51">
        <v>1594</v>
      </c>
      <c r="E176" s="50">
        <v>1706</v>
      </c>
      <c r="F176" s="49">
        <v>1748</v>
      </c>
      <c r="G176" s="50">
        <v>1872</v>
      </c>
      <c r="H176" s="49">
        <v>1999</v>
      </c>
      <c r="I176" s="48">
        <v>2485</v>
      </c>
      <c r="J176" s="47" t="s">
        <v>639</v>
      </c>
      <c r="K176" s="47">
        <v>1561</v>
      </c>
    </row>
    <row r="177" spans="1:11" s="38" customFormat="1" ht="29.25" customHeight="1">
      <c r="A177" s="53">
        <v>4804</v>
      </c>
      <c r="B177" s="45" t="s">
        <v>375</v>
      </c>
      <c r="C177" s="52">
        <v>1304</v>
      </c>
      <c r="D177" s="51">
        <v>1484</v>
      </c>
      <c r="E177" s="50">
        <v>1588</v>
      </c>
      <c r="F177" s="49">
        <v>1627</v>
      </c>
      <c r="G177" s="50">
        <v>1742</v>
      </c>
      <c r="H177" s="49">
        <v>1861</v>
      </c>
      <c r="I177" s="48">
        <v>2313</v>
      </c>
      <c r="J177" s="47" t="s">
        <v>639</v>
      </c>
      <c r="K177" s="47">
        <v>1563</v>
      </c>
    </row>
    <row r="178" spans="1:11" s="38" customFormat="1" ht="29.25" customHeight="1">
      <c r="A178" s="53">
        <v>4805</v>
      </c>
      <c r="B178" s="45" t="s">
        <v>374</v>
      </c>
      <c r="C178" s="52">
        <v>1348</v>
      </c>
      <c r="D178" s="51">
        <v>1534</v>
      </c>
      <c r="E178" s="50">
        <v>1642</v>
      </c>
      <c r="F178" s="49">
        <v>1682</v>
      </c>
      <c r="G178" s="50">
        <v>1801</v>
      </c>
      <c r="H178" s="49">
        <v>1924</v>
      </c>
      <c r="I178" s="48">
        <v>2391</v>
      </c>
      <c r="J178" s="47" t="s">
        <v>639</v>
      </c>
      <c r="K178" s="47">
        <v>1512</v>
      </c>
    </row>
    <row r="179" spans="1:11" s="38" customFormat="1" ht="29.25" customHeight="1">
      <c r="A179" s="53">
        <v>4806</v>
      </c>
      <c r="B179" s="45" t="s">
        <v>373</v>
      </c>
      <c r="C179" s="52">
        <v>1405</v>
      </c>
      <c r="D179" s="51">
        <v>1599</v>
      </c>
      <c r="E179" s="50">
        <v>1711</v>
      </c>
      <c r="F179" s="49">
        <v>1753</v>
      </c>
      <c r="G179" s="50">
        <v>1877</v>
      </c>
      <c r="H179" s="49">
        <v>2005</v>
      </c>
      <c r="I179" s="48">
        <v>2492</v>
      </c>
      <c r="J179" s="47" t="s">
        <v>639</v>
      </c>
      <c r="K179" s="47">
        <v>1754</v>
      </c>
    </row>
    <row r="180" spans="1:11" s="38" customFormat="1" ht="29.25" customHeight="1">
      <c r="A180" s="53">
        <v>4807</v>
      </c>
      <c r="B180" s="45" t="s">
        <v>372</v>
      </c>
      <c r="C180" s="52">
        <v>1295</v>
      </c>
      <c r="D180" s="51">
        <v>1474</v>
      </c>
      <c r="E180" s="50">
        <v>1577</v>
      </c>
      <c r="F180" s="49">
        <v>1616</v>
      </c>
      <c r="G180" s="50">
        <v>1730</v>
      </c>
      <c r="H180" s="49">
        <v>1848</v>
      </c>
      <c r="I180" s="48">
        <v>2297</v>
      </c>
      <c r="J180" s="47" t="s">
        <v>639</v>
      </c>
      <c r="K180" s="47">
        <v>1603</v>
      </c>
    </row>
    <row r="181" spans="1:11" s="38" customFormat="1" ht="29.25" customHeight="1">
      <c r="A181" s="53">
        <v>4808</v>
      </c>
      <c r="B181" s="45" t="s">
        <v>371</v>
      </c>
      <c r="C181" s="52">
        <v>1430</v>
      </c>
      <c r="D181" s="51">
        <v>1627</v>
      </c>
      <c r="E181" s="50">
        <v>1742</v>
      </c>
      <c r="F181" s="49">
        <v>1785</v>
      </c>
      <c r="G181" s="50">
        <v>1910</v>
      </c>
      <c r="H181" s="49">
        <v>2041</v>
      </c>
      <c r="I181" s="48">
        <v>2537</v>
      </c>
      <c r="J181" s="47" t="s">
        <v>639</v>
      </c>
      <c r="K181" s="47">
        <v>1713</v>
      </c>
    </row>
    <row r="182" spans="1:11" s="38" customFormat="1" ht="29.25" customHeight="1">
      <c r="A182" s="53">
        <v>4809</v>
      </c>
      <c r="B182" s="45" t="s">
        <v>370</v>
      </c>
      <c r="C182" s="52">
        <v>1316</v>
      </c>
      <c r="D182" s="51">
        <v>1498</v>
      </c>
      <c r="E182" s="50">
        <v>1603</v>
      </c>
      <c r="F182" s="49">
        <v>1642</v>
      </c>
      <c r="G182" s="50">
        <v>1758</v>
      </c>
      <c r="H182" s="49">
        <v>1878</v>
      </c>
      <c r="I182" s="48">
        <v>2335</v>
      </c>
      <c r="J182" s="47" t="s">
        <v>639</v>
      </c>
      <c r="K182" s="47">
        <v>1593</v>
      </c>
    </row>
    <row r="183" spans="1:11" s="38" customFormat="1" ht="29.25" customHeight="1">
      <c r="A183" s="53">
        <v>4810</v>
      </c>
      <c r="B183" s="45" t="s">
        <v>369</v>
      </c>
      <c r="C183" s="52">
        <v>1385</v>
      </c>
      <c r="D183" s="51">
        <v>1576</v>
      </c>
      <c r="E183" s="50">
        <v>1687</v>
      </c>
      <c r="F183" s="49">
        <v>1728</v>
      </c>
      <c r="G183" s="50">
        <v>1850</v>
      </c>
      <c r="H183" s="49">
        <v>1976</v>
      </c>
      <c r="I183" s="48">
        <v>2457</v>
      </c>
      <c r="J183" s="47" t="s">
        <v>639</v>
      </c>
      <c r="K183" s="47">
        <v>1726</v>
      </c>
    </row>
    <row r="184" spans="1:11" s="38" customFormat="1" ht="29.25" customHeight="1">
      <c r="A184" s="53">
        <v>4811</v>
      </c>
      <c r="B184" s="45" t="s">
        <v>368</v>
      </c>
      <c r="C184" s="52">
        <v>1293</v>
      </c>
      <c r="D184" s="51">
        <v>1471</v>
      </c>
      <c r="E184" s="50">
        <v>1575</v>
      </c>
      <c r="F184" s="49">
        <v>1614</v>
      </c>
      <c r="G184" s="50">
        <v>1727</v>
      </c>
      <c r="H184" s="49">
        <v>1845</v>
      </c>
      <c r="I184" s="48">
        <v>2294</v>
      </c>
      <c r="J184" s="47" t="s">
        <v>639</v>
      </c>
      <c r="K184" s="47">
        <v>1508</v>
      </c>
    </row>
    <row r="185" spans="1:11" s="38" customFormat="1" ht="29.25" customHeight="1" thickBot="1">
      <c r="A185" s="46">
        <v>4899</v>
      </c>
      <c r="B185" s="45" t="s">
        <v>367</v>
      </c>
      <c r="C185" s="44">
        <v>1355</v>
      </c>
      <c r="D185" s="43">
        <v>1542</v>
      </c>
      <c r="E185" s="42">
        <v>1650</v>
      </c>
      <c r="F185" s="41">
        <v>1691</v>
      </c>
      <c r="G185" s="42">
        <v>1810</v>
      </c>
      <c r="H185" s="41">
        <v>1934</v>
      </c>
      <c r="I185" s="40">
        <v>2404</v>
      </c>
      <c r="J185" s="39" t="s">
        <v>639</v>
      </c>
      <c r="K185" s="39">
        <v>1588</v>
      </c>
    </row>
    <row r="186" spans="1:11" s="38" customFormat="1" ht="29.25" customHeight="1">
      <c r="A186" s="45">
        <v>4901</v>
      </c>
      <c r="B186" s="45" t="s">
        <v>366</v>
      </c>
      <c r="C186" s="59">
        <v>1693</v>
      </c>
      <c r="D186" s="58">
        <v>1927</v>
      </c>
      <c r="E186" s="57">
        <v>2062</v>
      </c>
      <c r="F186" s="56">
        <v>2113</v>
      </c>
      <c r="G186" s="57">
        <v>2262</v>
      </c>
      <c r="H186" s="56">
        <v>2416</v>
      </c>
      <c r="I186" s="55">
        <v>3003</v>
      </c>
      <c r="J186" s="54" t="s">
        <v>639</v>
      </c>
      <c r="K186" s="54">
        <v>1843</v>
      </c>
    </row>
    <row r="187" spans="1:11" s="38" customFormat="1" ht="29.25" customHeight="1">
      <c r="A187" s="53">
        <v>4902</v>
      </c>
      <c r="B187" s="45" t="s">
        <v>365</v>
      </c>
      <c r="C187" s="52">
        <v>1256</v>
      </c>
      <c r="D187" s="51">
        <v>1429</v>
      </c>
      <c r="E187" s="50">
        <v>1530</v>
      </c>
      <c r="F187" s="49">
        <v>1567</v>
      </c>
      <c r="G187" s="50">
        <v>1678</v>
      </c>
      <c r="H187" s="49">
        <v>1792</v>
      </c>
      <c r="I187" s="48">
        <v>2228</v>
      </c>
      <c r="J187" s="47" t="s">
        <v>639</v>
      </c>
      <c r="K187" s="47">
        <v>1397</v>
      </c>
    </row>
    <row r="188" spans="1:11" s="38" customFormat="1" ht="29.25" customHeight="1">
      <c r="A188" s="53">
        <v>4903</v>
      </c>
      <c r="B188" s="45" t="s">
        <v>364</v>
      </c>
      <c r="C188" s="52">
        <v>1271</v>
      </c>
      <c r="D188" s="51">
        <v>1446</v>
      </c>
      <c r="E188" s="50">
        <v>1548</v>
      </c>
      <c r="F188" s="49">
        <v>1586</v>
      </c>
      <c r="G188" s="50">
        <v>1698</v>
      </c>
      <c r="H188" s="49">
        <v>1814</v>
      </c>
      <c r="I188" s="48">
        <v>2255</v>
      </c>
      <c r="J188" s="47" t="s">
        <v>639</v>
      </c>
      <c r="K188" s="47">
        <v>1389</v>
      </c>
    </row>
    <row r="189" spans="1:11" s="38" customFormat="1" ht="29.25" customHeight="1">
      <c r="A189" s="53">
        <v>4904</v>
      </c>
      <c r="B189" s="45" t="s">
        <v>363</v>
      </c>
      <c r="C189" s="52">
        <v>1189</v>
      </c>
      <c r="D189" s="51">
        <v>1353</v>
      </c>
      <c r="E189" s="50">
        <v>1448</v>
      </c>
      <c r="F189" s="49">
        <v>1484</v>
      </c>
      <c r="G189" s="50">
        <v>1589</v>
      </c>
      <c r="H189" s="49">
        <v>1697</v>
      </c>
      <c r="I189" s="48">
        <v>2109</v>
      </c>
      <c r="J189" s="47" t="s">
        <v>639</v>
      </c>
      <c r="K189" s="47">
        <v>1319</v>
      </c>
    </row>
    <row r="190" spans="1:11" s="38" customFormat="1" ht="29.25" customHeight="1">
      <c r="A190" s="53">
        <v>4905</v>
      </c>
      <c r="B190" s="45" t="s">
        <v>362</v>
      </c>
      <c r="C190" s="52">
        <v>1324</v>
      </c>
      <c r="D190" s="51">
        <v>1507</v>
      </c>
      <c r="E190" s="50">
        <v>1613</v>
      </c>
      <c r="F190" s="49">
        <v>1652</v>
      </c>
      <c r="G190" s="50">
        <v>1769</v>
      </c>
      <c r="H190" s="49">
        <v>1889</v>
      </c>
      <c r="I190" s="48">
        <v>2349</v>
      </c>
      <c r="J190" s="47" t="s">
        <v>639</v>
      </c>
      <c r="K190" s="47">
        <v>1476</v>
      </c>
    </row>
    <row r="191" spans="1:11" s="38" customFormat="1" ht="29.25" customHeight="1">
      <c r="A191" s="53">
        <v>4906</v>
      </c>
      <c r="B191" s="45" t="s">
        <v>361</v>
      </c>
      <c r="C191" s="52">
        <v>1202</v>
      </c>
      <c r="D191" s="51">
        <v>1368</v>
      </c>
      <c r="E191" s="50">
        <v>1464</v>
      </c>
      <c r="F191" s="49">
        <v>1500</v>
      </c>
      <c r="G191" s="50">
        <v>1606</v>
      </c>
      <c r="H191" s="49">
        <v>1715</v>
      </c>
      <c r="I191" s="48">
        <v>2132</v>
      </c>
      <c r="J191" s="47" t="s">
        <v>639</v>
      </c>
      <c r="K191" s="47">
        <v>1341</v>
      </c>
    </row>
    <row r="192" spans="1:11" s="38" customFormat="1" ht="29.25" customHeight="1">
      <c r="A192" s="53">
        <v>4907</v>
      </c>
      <c r="B192" s="45" t="s">
        <v>360</v>
      </c>
      <c r="C192" s="52">
        <v>1373</v>
      </c>
      <c r="D192" s="51">
        <v>1562</v>
      </c>
      <c r="E192" s="50">
        <v>1672</v>
      </c>
      <c r="F192" s="49">
        <v>1714</v>
      </c>
      <c r="G192" s="50">
        <v>1834</v>
      </c>
      <c r="H192" s="49">
        <v>1959</v>
      </c>
      <c r="I192" s="48">
        <v>2436</v>
      </c>
      <c r="J192" s="47" t="s">
        <v>639</v>
      </c>
      <c r="K192" s="47">
        <v>1501</v>
      </c>
    </row>
    <row r="193" spans="1:11" s="38" customFormat="1" ht="29.25" customHeight="1">
      <c r="A193" s="53">
        <v>4908</v>
      </c>
      <c r="B193" s="45" t="s">
        <v>359</v>
      </c>
      <c r="C193" s="52">
        <v>1519</v>
      </c>
      <c r="D193" s="51">
        <v>1729</v>
      </c>
      <c r="E193" s="50">
        <v>1850</v>
      </c>
      <c r="F193" s="49">
        <v>1896</v>
      </c>
      <c r="G193" s="50">
        <v>2029</v>
      </c>
      <c r="H193" s="49">
        <v>2168</v>
      </c>
      <c r="I193" s="48">
        <v>2695</v>
      </c>
      <c r="J193" s="47" t="s">
        <v>639</v>
      </c>
      <c r="K193" s="47">
        <v>1600</v>
      </c>
    </row>
    <row r="194" spans="1:11" s="38" customFormat="1" ht="43.5" customHeight="1">
      <c r="A194" s="89">
        <v>4909</v>
      </c>
      <c r="B194" s="45" t="s">
        <v>358</v>
      </c>
      <c r="C194" s="52">
        <v>1578</v>
      </c>
      <c r="D194" s="51">
        <v>1796</v>
      </c>
      <c r="E194" s="50">
        <v>1922</v>
      </c>
      <c r="F194" s="49">
        <v>1969</v>
      </c>
      <c r="G194" s="50">
        <v>2108</v>
      </c>
      <c r="H194" s="49">
        <v>2252</v>
      </c>
      <c r="I194" s="48">
        <v>2799</v>
      </c>
      <c r="J194" s="47" t="s">
        <v>639</v>
      </c>
      <c r="K194" s="47">
        <v>1735</v>
      </c>
    </row>
    <row r="195" spans="1:11" s="38" customFormat="1" ht="29.25" customHeight="1">
      <c r="A195" s="53">
        <v>4910</v>
      </c>
      <c r="B195" s="45" t="s">
        <v>357</v>
      </c>
      <c r="C195" s="52">
        <v>1258</v>
      </c>
      <c r="D195" s="51">
        <v>1432</v>
      </c>
      <c r="E195" s="50">
        <v>1532</v>
      </c>
      <c r="F195" s="49">
        <v>1570</v>
      </c>
      <c r="G195" s="50">
        <v>1681</v>
      </c>
      <c r="H195" s="49">
        <v>1795</v>
      </c>
      <c r="I195" s="48">
        <v>2232</v>
      </c>
      <c r="J195" s="47" t="s">
        <v>639</v>
      </c>
      <c r="K195" s="47">
        <v>1403</v>
      </c>
    </row>
    <row r="196" spans="1:11" s="38" customFormat="1" ht="29.25" customHeight="1">
      <c r="A196" s="66">
        <v>4999</v>
      </c>
      <c r="B196" s="45" t="s">
        <v>356</v>
      </c>
      <c r="C196" s="65">
        <v>1262</v>
      </c>
      <c r="D196" s="64">
        <v>1436</v>
      </c>
      <c r="E196" s="63">
        <v>1537</v>
      </c>
      <c r="F196" s="62">
        <v>1575</v>
      </c>
      <c r="G196" s="63">
        <v>1686</v>
      </c>
      <c r="H196" s="62">
        <v>1801</v>
      </c>
      <c r="I196" s="61">
        <v>2239</v>
      </c>
      <c r="J196" s="60">
        <v>1295</v>
      </c>
      <c r="K196" s="60">
        <v>1405</v>
      </c>
    </row>
    <row r="197" spans="1:11" s="38" customFormat="1" ht="29.25" customHeight="1">
      <c r="A197" s="45">
        <v>5001</v>
      </c>
      <c r="B197" s="45" t="s">
        <v>355</v>
      </c>
      <c r="C197" s="59">
        <v>1183</v>
      </c>
      <c r="D197" s="58">
        <v>1346</v>
      </c>
      <c r="E197" s="57">
        <v>1441</v>
      </c>
      <c r="F197" s="56">
        <v>1476</v>
      </c>
      <c r="G197" s="57">
        <v>1580</v>
      </c>
      <c r="H197" s="56">
        <v>1688</v>
      </c>
      <c r="I197" s="55">
        <v>2099</v>
      </c>
      <c r="J197" s="54" t="s">
        <v>639</v>
      </c>
      <c r="K197" s="54">
        <v>1298</v>
      </c>
    </row>
    <row r="198" spans="1:11" s="38" customFormat="1" ht="29.25" customHeight="1">
      <c r="A198" s="53">
        <v>5002</v>
      </c>
      <c r="B198" s="45" t="s">
        <v>354</v>
      </c>
      <c r="C198" s="52">
        <v>1180</v>
      </c>
      <c r="D198" s="51">
        <v>1343</v>
      </c>
      <c r="E198" s="50">
        <v>1437</v>
      </c>
      <c r="F198" s="49">
        <v>1473</v>
      </c>
      <c r="G198" s="50">
        <v>1576</v>
      </c>
      <c r="H198" s="49">
        <v>1684</v>
      </c>
      <c r="I198" s="48">
        <v>2093</v>
      </c>
      <c r="J198" s="47" t="s">
        <v>639</v>
      </c>
      <c r="K198" s="47">
        <v>1293</v>
      </c>
    </row>
    <row r="199" spans="1:11" s="38" customFormat="1" ht="29.25" customHeight="1">
      <c r="A199" s="53">
        <v>5003</v>
      </c>
      <c r="B199" s="45" t="s">
        <v>353</v>
      </c>
      <c r="C199" s="52">
        <v>1221</v>
      </c>
      <c r="D199" s="51">
        <v>1389</v>
      </c>
      <c r="E199" s="50">
        <v>1487</v>
      </c>
      <c r="F199" s="49">
        <v>1524</v>
      </c>
      <c r="G199" s="50">
        <v>1631</v>
      </c>
      <c r="H199" s="49">
        <v>1742</v>
      </c>
      <c r="I199" s="48">
        <v>2166</v>
      </c>
      <c r="J199" s="47" t="s">
        <v>639</v>
      </c>
      <c r="K199" s="47">
        <v>1354</v>
      </c>
    </row>
    <row r="200" spans="1:11" s="38" customFormat="1" ht="29.25" customHeight="1">
      <c r="A200" s="66">
        <v>5099</v>
      </c>
      <c r="B200" s="45" t="s">
        <v>352</v>
      </c>
      <c r="C200" s="65">
        <v>1124</v>
      </c>
      <c r="D200" s="64">
        <v>1279</v>
      </c>
      <c r="E200" s="63">
        <v>1369</v>
      </c>
      <c r="F200" s="62">
        <v>1403</v>
      </c>
      <c r="G200" s="63">
        <v>1502</v>
      </c>
      <c r="H200" s="62">
        <v>1604</v>
      </c>
      <c r="I200" s="61">
        <v>1994</v>
      </c>
      <c r="J200" s="60" t="s">
        <v>639</v>
      </c>
      <c r="K200" s="60">
        <v>1225</v>
      </c>
    </row>
    <row r="201" spans="1:11" s="38" customFormat="1" ht="29.25" customHeight="1">
      <c r="A201" s="45">
        <v>5101</v>
      </c>
      <c r="B201" s="45" t="s">
        <v>351</v>
      </c>
      <c r="C201" s="59">
        <v>1306</v>
      </c>
      <c r="D201" s="58">
        <v>1486</v>
      </c>
      <c r="E201" s="57">
        <v>1591</v>
      </c>
      <c r="F201" s="56">
        <v>1630</v>
      </c>
      <c r="G201" s="57">
        <v>1745</v>
      </c>
      <c r="H201" s="56">
        <v>1864</v>
      </c>
      <c r="I201" s="55">
        <v>2317</v>
      </c>
      <c r="J201" s="54" t="s">
        <v>639</v>
      </c>
      <c r="K201" s="54">
        <v>1399</v>
      </c>
    </row>
    <row r="202" spans="1:11" s="38" customFormat="1" ht="29.25" customHeight="1">
      <c r="A202" s="53">
        <v>5102</v>
      </c>
      <c r="B202" s="45" t="s">
        <v>350</v>
      </c>
      <c r="C202" s="52">
        <v>1358</v>
      </c>
      <c r="D202" s="51">
        <v>1545</v>
      </c>
      <c r="E202" s="50">
        <v>1654</v>
      </c>
      <c r="F202" s="49">
        <v>1695</v>
      </c>
      <c r="G202" s="50">
        <v>1814</v>
      </c>
      <c r="H202" s="49">
        <v>1938</v>
      </c>
      <c r="I202" s="48">
        <v>2409</v>
      </c>
      <c r="J202" s="47" t="s">
        <v>639</v>
      </c>
      <c r="K202" s="47">
        <v>1423</v>
      </c>
    </row>
    <row r="203" spans="1:11" s="38" customFormat="1" ht="29.25" customHeight="1">
      <c r="A203" s="45">
        <v>5201</v>
      </c>
      <c r="B203" s="45" t="s">
        <v>349</v>
      </c>
      <c r="C203" s="59">
        <v>1226</v>
      </c>
      <c r="D203" s="58">
        <v>1395</v>
      </c>
      <c r="E203" s="57">
        <v>1493</v>
      </c>
      <c r="F203" s="56">
        <v>1530</v>
      </c>
      <c r="G203" s="57">
        <v>1638</v>
      </c>
      <c r="H203" s="56">
        <v>1750</v>
      </c>
      <c r="I203" s="55">
        <v>2175</v>
      </c>
      <c r="J203" s="54" t="s">
        <v>639</v>
      </c>
      <c r="K203" s="54">
        <v>1335</v>
      </c>
    </row>
    <row r="204" spans="1:11" s="38" customFormat="1" ht="29.25" customHeight="1">
      <c r="A204" s="66">
        <v>5299</v>
      </c>
      <c r="B204" s="45" t="s">
        <v>348</v>
      </c>
      <c r="C204" s="65">
        <v>1246</v>
      </c>
      <c r="D204" s="64">
        <v>1418</v>
      </c>
      <c r="E204" s="63">
        <v>1518</v>
      </c>
      <c r="F204" s="62">
        <v>1555</v>
      </c>
      <c r="G204" s="63">
        <v>1665</v>
      </c>
      <c r="H204" s="62">
        <v>1778</v>
      </c>
      <c r="I204" s="61">
        <v>2210</v>
      </c>
      <c r="J204" s="60" t="s">
        <v>639</v>
      </c>
      <c r="K204" s="60">
        <v>1429</v>
      </c>
    </row>
    <row r="205" spans="1:11" s="38" customFormat="1" ht="29.25" customHeight="1">
      <c r="A205" s="45">
        <v>5301</v>
      </c>
      <c r="B205" s="45" t="s">
        <v>347</v>
      </c>
      <c r="C205" s="59">
        <v>1476</v>
      </c>
      <c r="D205" s="58">
        <v>1680</v>
      </c>
      <c r="E205" s="57">
        <v>1798</v>
      </c>
      <c r="F205" s="56">
        <v>1842</v>
      </c>
      <c r="G205" s="57">
        <v>1972</v>
      </c>
      <c r="H205" s="56">
        <v>2106</v>
      </c>
      <c r="I205" s="55">
        <v>2618</v>
      </c>
      <c r="J205" s="54" t="s">
        <v>639</v>
      </c>
      <c r="K205" s="54">
        <v>1744</v>
      </c>
    </row>
    <row r="206" spans="1:11" s="38" customFormat="1" ht="29.25" customHeight="1">
      <c r="A206" s="53">
        <v>5302</v>
      </c>
      <c r="B206" s="45" t="s">
        <v>346</v>
      </c>
      <c r="C206" s="52">
        <v>1315</v>
      </c>
      <c r="D206" s="51">
        <v>1496</v>
      </c>
      <c r="E206" s="50">
        <v>1602</v>
      </c>
      <c r="F206" s="49">
        <v>1641</v>
      </c>
      <c r="G206" s="50">
        <v>1757</v>
      </c>
      <c r="H206" s="49">
        <v>1877</v>
      </c>
      <c r="I206" s="48">
        <v>2333</v>
      </c>
      <c r="J206" s="47" t="s">
        <v>639</v>
      </c>
      <c r="K206" s="47">
        <v>1573</v>
      </c>
    </row>
    <row r="207" spans="1:11" s="38" customFormat="1" ht="29.25" customHeight="1">
      <c r="A207" s="53">
        <v>5303</v>
      </c>
      <c r="B207" s="45" t="s">
        <v>345</v>
      </c>
      <c r="C207" s="52">
        <v>1142</v>
      </c>
      <c r="D207" s="51">
        <v>1300</v>
      </c>
      <c r="E207" s="50">
        <v>1391</v>
      </c>
      <c r="F207" s="49">
        <v>1425</v>
      </c>
      <c r="G207" s="50">
        <v>1526</v>
      </c>
      <c r="H207" s="49">
        <v>1630</v>
      </c>
      <c r="I207" s="48">
        <v>2026</v>
      </c>
      <c r="J207" s="47" t="s">
        <v>639</v>
      </c>
      <c r="K207" s="47">
        <v>1255</v>
      </c>
    </row>
    <row r="208" spans="1:11" s="38" customFormat="1" ht="29.25" customHeight="1">
      <c r="A208" s="53">
        <v>5304</v>
      </c>
      <c r="B208" s="45" t="s">
        <v>344</v>
      </c>
      <c r="C208" s="52">
        <v>1212</v>
      </c>
      <c r="D208" s="51">
        <v>1379</v>
      </c>
      <c r="E208" s="50">
        <v>1476</v>
      </c>
      <c r="F208" s="49">
        <v>1513</v>
      </c>
      <c r="G208" s="50">
        <v>1619</v>
      </c>
      <c r="H208" s="49">
        <v>1730</v>
      </c>
      <c r="I208" s="48">
        <v>2150</v>
      </c>
      <c r="J208" s="47" t="s">
        <v>639</v>
      </c>
      <c r="K208" s="47">
        <v>1437</v>
      </c>
    </row>
    <row r="209" spans="1:11" s="38" customFormat="1" ht="29.25" customHeight="1">
      <c r="A209" s="53">
        <v>5305</v>
      </c>
      <c r="B209" s="45" t="s">
        <v>343</v>
      </c>
      <c r="C209" s="52">
        <v>1172</v>
      </c>
      <c r="D209" s="51">
        <v>1334</v>
      </c>
      <c r="E209" s="50">
        <v>1427</v>
      </c>
      <c r="F209" s="49">
        <v>1463</v>
      </c>
      <c r="G209" s="50">
        <v>1566</v>
      </c>
      <c r="H209" s="49">
        <v>1672</v>
      </c>
      <c r="I209" s="48">
        <v>2079</v>
      </c>
      <c r="J209" s="47" t="s">
        <v>639</v>
      </c>
      <c r="K209" s="47">
        <v>1417</v>
      </c>
    </row>
    <row r="210" spans="1:11" s="38" customFormat="1" ht="29.25" customHeight="1">
      <c r="A210" s="66">
        <v>5399</v>
      </c>
      <c r="B210" s="45" t="s">
        <v>342</v>
      </c>
      <c r="C210" s="65">
        <v>1215</v>
      </c>
      <c r="D210" s="64">
        <v>1383</v>
      </c>
      <c r="E210" s="63">
        <v>1480</v>
      </c>
      <c r="F210" s="62">
        <v>1516</v>
      </c>
      <c r="G210" s="63">
        <v>1623</v>
      </c>
      <c r="H210" s="62">
        <v>1734</v>
      </c>
      <c r="I210" s="61">
        <v>2155</v>
      </c>
      <c r="J210" s="60" t="s">
        <v>639</v>
      </c>
      <c r="K210" s="60">
        <v>1398</v>
      </c>
    </row>
    <row r="211" spans="1:11" s="38" customFormat="1" ht="29.25" customHeight="1">
      <c r="A211" s="45">
        <v>5401</v>
      </c>
      <c r="B211" s="45" t="s">
        <v>341</v>
      </c>
      <c r="C211" s="59">
        <v>1154</v>
      </c>
      <c r="D211" s="58">
        <v>1313</v>
      </c>
      <c r="E211" s="57">
        <v>1406</v>
      </c>
      <c r="F211" s="56">
        <v>1440</v>
      </c>
      <c r="G211" s="57">
        <v>1542</v>
      </c>
      <c r="H211" s="56">
        <v>1647</v>
      </c>
      <c r="I211" s="55">
        <v>2047</v>
      </c>
      <c r="J211" s="54" t="s">
        <v>639</v>
      </c>
      <c r="K211" s="54">
        <v>1261</v>
      </c>
    </row>
    <row r="212" spans="1:11" s="38" customFormat="1" ht="29.25" customHeight="1">
      <c r="A212" s="66">
        <v>5402</v>
      </c>
      <c r="B212" s="45" t="s">
        <v>340</v>
      </c>
      <c r="C212" s="65">
        <v>1164</v>
      </c>
      <c r="D212" s="64">
        <v>1325</v>
      </c>
      <c r="E212" s="63">
        <v>1418</v>
      </c>
      <c r="F212" s="62">
        <v>1453</v>
      </c>
      <c r="G212" s="63">
        <v>1555</v>
      </c>
      <c r="H212" s="62">
        <v>1661</v>
      </c>
      <c r="I212" s="61">
        <v>2065</v>
      </c>
      <c r="J212" s="60" t="s">
        <v>639</v>
      </c>
      <c r="K212" s="60">
        <v>1243</v>
      </c>
    </row>
    <row r="213" spans="1:11" s="38" customFormat="1" ht="29.25" customHeight="1">
      <c r="A213" s="45">
        <v>5501</v>
      </c>
      <c r="B213" s="45" t="s">
        <v>339</v>
      </c>
      <c r="C213" s="59">
        <v>1437</v>
      </c>
      <c r="D213" s="58">
        <v>1635</v>
      </c>
      <c r="E213" s="57">
        <v>1750</v>
      </c>
      <c r="F213" s="56">
        <v>1793</v>
      </c>
      <c r="G213" s="57">
        <v>1920</v>
      </c>
      <c r="H213" s="56">
        <v>2051</v>
      </c>
      <c r="I213" s="55">
        <v>2549</v>
      </c>
      <c r="J213" s="54" t="s">
        <v>639</v>
      </c>
      <c r="K213" s="54">
        <v>1672</v>
      </c>
    </row>
    <row r="214" spans="1:11" s="38" customFormat="1" ht="29.25" customHeight="1">
      <c r="A214" s="53">
        <v>5502</v>
      </c>
      <c r="B214" s="45" t="s">
        <v>338</v>
      </c>
      <c r="C214" s="52">
        <v>1352</v>
      </c>
      <c r="D214" s="51">
        <v>1539</v>
      </c>
      <c r="E214" s="50">
        <v>1647</v>
      </c>
      <c r="F214" s="49">
        <v>1687</v>
      </c>
      <c r="G214" s="50">
        <v>1806</v>
      </c>
      <c r="H214" s="49">
        <v>1929</v>
      </c>
      <c r="I214" s="48">
        <v>2398</v>
      </c>
      <c r="J214" s="47" t="s">
        <v>639</v>
      </c>
      <c r="K214" s="47">
        <v>1631</v>
      </c>
    </row>
    <row r="215" spans="1:11" s="38" customFormat="1" ht="29.25" customHeight="1">
      <c r="A215" s="53">
        <v>5503</v>
      </c>
      <c r="B215" s="45" t="s">
        <v>337</v>
      </c>
      <c r="C215" s="52">
        <v>1343</v>
      </c>
      <c r="D215" s="51">
        <v>1528</v>
      </c>
      <c r="E215" s="50">
        <v>1636</v>
      </c>
      <c r="F215" s="49">
        <v>1676</v>
      </c>
      <c r="G215" s="50">
        <v>1794</v>
      </c>
      <c r="H215" s="49">
        <v>1916</v>
      </c>
      <c r="I215" s="48">
        <v>2382</v>
      </c>
      <c r="J215" s="47" t="s">
        <v>639</v>
      </c>
      <c r="K215" s="47">
        <v>1590</v>
      </c>
    </row>
    <row r="216" spans="1:11" s="38" customFormat="1" ht="29.25" customHeight="1">
      <c r="A216" s="53">
        <v>5504</v>
      </c>
      <c r="B216" s="45" t="s">
        <v>336</v>
      </c>
      <c r="C216" s="52">
        <v>1413</v>
      </c>
      <c r="D216" s="51">
        <v>1608</v>
      </c>
      <c r="E216" s="50">
        <v>1721</v>
      </c>
      <c r="F216" s="49">
        <v>1763</v>
      </c>
      <c r="G216" s="50">
        <v>1888</v>
      </c>
      <c r="H216" s="49">
        <v>2016</v>
      </c>
      <c r="I216" s="48">
        <v>2507</v>
      </c>
      <c r="J216" s="47" t="s">
        <v>639</v>
      </c>
      <c r="K216" s="47">
        <v>1677</v>
      </c>
    </row>
    <row r="217" spans="1:11" s="38" customFormat="1" ht="29.25" customHeight="1">
      <c r="A217" s="53">
        <v>5505</v>
      </c>
      <c r="B217" s="45" t="s">
        <v>335</v>
      </c>
      <c r="C217" s="52">
        <v>1377</v>
      </c>
      <c r="D217" s="51">
        <v>1567</v>
      </c>
      <c r="E217" s="50">
        <v>1677</v>
      </c>
      <c r="F217" s="49">
        <v>1718</v>
      </c>
      <c r="G217" s="50">
        <v>1840</v>
      </c>
      <c r="H217" s="49">
        <v>1965</v>
      </c>
      <c r="I217" s="48">
        <v>2443</v>
      </c>
      <c r="J217" s="47" t="s">
        <v>639</v>
      </c>
      <c r="K217" s="47">
        <v>1605</v>
      </c>
    </row>
    <row r="218" spans="1:11" s="38" customFormat="1" ht="29.25" customHeight="1">
      <c r="A218" s="53">
        <v>5506</v>
      </c>
      <c r="B218" s="45" t="s">
        <v>334</v>
      </c>
      <c r="C218" s="52">
        <v>1155</v>
      </c>
      <c r="D218" s="51">
        <v>1314</v>
      </c>
      <c r="E218" s="50">
        <v>1407</v>
      </c>
      <c r="F218" s="49">
        <v>1441</v>
      </c>
      <c r="G218" s="50">
        <v>1543</v>
      </c>
      <c r="H218" s="49">
        <v>1648</v>
      </c>
      <c r="I218" s="48">
        <v>2049</v>
      </c>
      <c r="J218" s="47" t="s">
        <v>639</v>
      </c>
      <c r="K218" s="47">
        <v>1296</v>
      </c>
    </row>
    <row r="219" spans="1:11" s="38" customFormat="1" ht="29.25" customHeight="1">
      <c r="A219" s="53">
        <v>5507</v>
      </c>
      <c r="B219" s="45" t="s">
        <v>333</v>
      </c>
      <c r="C219" s="52">
        <v>1203</v>
      </c>
      <c r="D219" s="51">
        <v>1369</v>
      </c>
      <c r="E219" s="50">
        <v>1465</v>
      </c>
      <c r="F219" s="49">
        <v>1501</v>
      </c>
      <c r="G219" s="50">
        <v>1607</v>
      </c>
      <c r="H219" s="49">
        <v>1717</v>
      </c>
      <c r="I219" s="48">
        <v>2134</v>
      </c>
      <c r="J219" s="47" t="s">
        <v>639</v>
      </c>
      <c r="K219" s="47">
        <v>1303</v>
      </c>
    </row>
    <row r="220" spans="1:11" s="38" customFormat="1" ht="29.25" customHeight="1">
      <c r="A220" s="53">
        <v>5508</v>
      </c>
      <c r="B220" s="45" t="s">
        <v>332</v>
      </c>
      <c r="C220" s="52">
        <v>1218</v>
      </c>
      <c r="D220" s="51">
        <v>1386</v>
      </c>
      <c r="E220" s="50">
        <v>1484</v>
      </c>
      <c r="F220" s="49">
        <v>1520</v>
      </c>
      <c r="G220" s="50">
        <v>1627</v>
      </c>
      <c r="H220" s="49">
        <v>1738</v>
      </c>
      <c r="I220" s="48">
        <v>2161</v>
      </c>
      <c r="J220" s="47" t="s">
        <v>639</v>
      </c>
      <c r="K220" s="47">
        <v>1365</v>
      </c>
    </row>
    <row r="221" spans="1:11" s="38" customFormat="1" ht="29.25" customHeight="1">
      <c r="A221" s="53">
        <v>5509</v>
      </c>
      <c r="B221" s="45" t="s">
        <v>331</v>
      </c>
      <c r="C221" s="52">
        <v>1378</v>
      </c>
      <c r="D221" s="51">
        <v>1568</v>
      </c>
      <c r="E221" s="50">
        <v>1678</v>
      </c>
      <c r="F221" s="49">
        <v>1720</v>
      </c>
      <c r="G221" s="50">
        <v>1841</v>
      </c>
      <c r="H221" s="49">
        <v>1966</v>
      </c>
      <c r="I221" s="48">
        <v>2445</v>
      </c>
      <c r="J221" s="47" t="s">
        <v>639</v>
      </c>
      <c r="K221" s="47">
        <v>1570</v>
      </c>
    </row>
    <row r="222" spans="1:11" s="38" customFormat="1" ht="29.25" customHeight="1" thickBot="1">
      <c r="A222" s="46">
        <v>5599</v>
      </c>
      <c r="B222" s="45" t="s">
        <v>330</v>
      </c>
      <c r="C222" s="44">
        <v>1314</v>
      </c>
      <c r="D222" s="43">
        <v>1495</v>
      </c>
      <c r="E222" s="42">
        <v>1600</v>
      </c>
      <c r="F222" s="41">
        <v>1640</v>
      </c>
      <c r="G222" s="42">
        <v>1756</v>
      </c>
      <c r="H222" s="41">
        <v>1875</v>
      </c>
      <c r="I222" s="40">
        <v>2331</v>
      </c>
      <c r="J222" s="39" t="s">
        <v>639</v>
      </c>
      <c r="K222" s="39">
        <v>1509</v>
      </c>
    </row>
    <row r="223" spans="1:11" s="38" customFormat="1" ht="29.25" customHeight="1">
      <c r="A223" s="45">
        <v>5601</v>
      </c>
      <c r="B223" s="45" t="s">
        <v>329</v>
      </c>
      <c r="C223" s="59">
        <v>1455</v>
      </c>
      <c r="D223" s="58">
        <v>1656</v>
      </c>
      <c r="E223" s="57">
        <v>1772</v>
      </c>
      <c r="F223" s="56">
        <v>1816</v>
      </c>
      <c r="G223" s="57">
        <v>1944</v>
      </c>
      <c r="H223" s="56">
        <v>2076</v>
      </c>
      <c r="I223" s="55">
        <v>2581</v>
      </c>
      <c r="J223" s="54" t="s">
        <v>639</v>
      </c>
      <c r="K223" s="54">
        <v>1672</v>
      </c>
    </row>
    <row r="224" spans="1:11" s="38" customFormat="1" ht="29.25" customHeight="1">
      <c r="A224" s="53">
        <v>5602</v>
      </c>
      <c r="B224" s="45" t="s">
        <v>328</v>
      </c>
      <c r="C224" s="52">
        <v>1818</v>
      </c>
      <c r="D224" s="51">
        <v>2069</v>
      </c>
      <c r="E224" s="50">
        <v>2214</v>
      </c>
      <c r="F224" s="49">
        <v>2269</v>
      </c>
      <c r="G224" s="50">
        <v>2429</v>
      </c>
      <c r="H224" s="49">
        <v>2594</v>
      </c>
      <c r="I224" s="48">
        <v>3225</v>
      </c>
      <c r="J224" s="47" t="s">
        <v>639</v>
      </c>
      <c r="K224" s="47">
        <v>1932</v>
      </c>
    </row>
    <row r="225" spans="1:11" s="38" customFormat="1" ht="43.5" customHeight="1">
      <c r="A225" s="89">
        <v>5603</v>
      </c>
      <c r="B225" s="45" t="s">
        <v>327</v>
      </c>
      <c r="C225" s="52">
        <v>1306</v>
      </c>
      <c r="D225" s="51">
        <v>1486</v>
      </c>
      <c r="E225" s="50">
        <v>1591</v>
      </c>
      <c r="F225" s="49">
        <v>1630</v>
      </c>
      <c r="G225" s="50">
        <v>1745</v>
      </c>
      <c r="H225" s="49">
        <v>1864</v>
      </c>
      <c r="I225" s="48">
        <v>2317</v>
      </c>
      <c r="J225" s="47" t="s">
        <v>639</v>
      </c>
      <c r="K225" s="47">
        <v>1510</v>
      </c>
    </row>
    <row r="226" spans="1:11" s="38" customFormat="1" ht="29.25" customHeight="1">
      <c r="A226" s="53">
        <v>5604</v>
      </c>
      <c r="B226" s="45" t="s">
        <v>326</v>
      </c>
      <c r="C226" s="52">
        <v>1206</v>
      </c>
      <c r="D226" s="51">
        <v>1372</v>
      </c>
      <c r="E226" s="50">
        <v>1469</v>
      </c>
      <c r="F226" s="49">
        <v>1505</v>
      </c>
      <c r="G226" s="50">
        <v>1611</v>
      </c>
      <c r="H226" s="49">
        <v>1721</v>
      </c>
      <c r="I226" s="48">
        <v>2139</v>
      </c>
      <c r="J226" s="47" t="s">
        <v>639</v>
      </c>
      <c r="K226" s="47">
        <v>1353</v>
      </c>
    </row>
    <row r="227" spans="1:11" s="38" customFormat="1" ht="29.25" customHeight="1">
      <c r="A227" s="53">
        <v>5605</v>
      </c>
      <c r="B227" s="45" t="s">
        <v>325</v>
      </c>
      <c r="C227" s="52">
        <v>1244</v>
      </c>
      <c r="D227" s="51">
        <v>1416</v>
      </c>
      <c r="E227" s="50">
        <v>1515</v>
      </c>
      <c r="F227" s="49">
        <v>1553</v>
      </c>
      <c r="G227" s="50">
        <v>1662</v>
      </c>
      <c r="H227" s="49">
        <v>1775</v>
      </c>
      <c r="I227" s="48">
        <v>2207</v>
      </c>
      <c r="J227" s="47" t="s">
        <v>639</v>
      </c>
      <c r="K227" s="47">
        <v>1394</v>
      </c>
    </row>
    <row r="228" spans="1:11" s="38" customFormat="1" ht="29.25" customHeight="1">
      <c r="A228" s="53">
        <v>5606</v>
      </c>
      <c r="B228" s="45" t="s">
        <v>324</v>
      </c>
      <c r="C228" s="52">
        <v>1140</v>
      </c>
      <c r="D228" s="51">
        <v>1297</v>
      </c>
      <c r="E228" s="50">
        <v>1389</v>
      </c>
      <c r="F228" s="49">
        <v>1423</v>
      </c>
      <c r="G228" s="50">
        <v>1523</v>
      </c>
      <c r="H228" s="49">
        <v>1627</v>
      </c>
      <c r="I228" s="48">
        <v>2022</v>
      </c>
      <c r="J228" s="47" t="s">
        <v>639</v>
      </c>
      <c r="K228" s="47">
        <v>1245</v>
      </c>
    </row>
    <row r="229" spans="1:11" s="38" customFormat="1" ht="29.25" customHeight="1">
      <c r="A229" s="53">
        <v>5607</v>
      </c>
      <c r="B229" s="45" t="s">
        <v>323</v>
      </c>
      <c r="C229" s="52" t="s">
        <v>111</v>
      </c>
      <c r="D229" s="51" t="s">
        <v>111</v>
      </c>
      <c r="E229" s="50" t="s">
        <v>111</v>
      </c>
      <c r="F229" s="49" t="s">
        <v>111</v>
      </c>
      <c r="G229" s="50" t="s">
        <v>111</v>
      </c>
      <c r="H229" s="49" t="s">
        <v>111</v>
      </c>
      <c r="I229" s="48" t="s">
        <v>111</v>
      </c>
      <c r="J229" s="47" t="s">
        <v>639</v>
      </c>
      <c r="K229" s="47" t="s">
        <v>111</v>
      </c>
    </row>
    <row r="230" spans="1:11" s="38" customFormat="1" ht="29.25" customHeight="1">
      <c r="A230" s="53">
        <v>5608</v>
      </c>
      <c r="B230" s="45" t="s">
        <v>322</v>
      </c>
      <c r="C230" s="52">
        <v>1270</v>
      </c>
      <c r="D230" s="51">
        <v>1445</v>
      </c>
      <c r="E230" s="50">
        <v>1547</v>
      </c>
      <c r="F230" s="49">
        <v>1585</v>
      </c>
      <c r="G230" s="50">
        <v>1697</v>
      </c>
      <c r="H230" s="49">
        <v>1812</v>
      </c>
      <c r="I230" s="48">
        <v>2253</v>
      </c>
      <c r="J230" s="47" t="s">
        <v>639</v>
      </c>
      <c r="K230" s="47">
        <v>1407</v>
      </c>
    </row>
    <row r="231" spans="1:11" s="38" customFormat="1" ht="29.25" customHeight="1">
      <c r="A231" s="66">
        <v>5699</v>
      </c>
      <c r="B231" s="45" t="s">
        <v>321</v>
      </c>
      <c r="C231" s="65">
        <v>1241</v>
      </c>
      <c r="D231" s="64">
        <v>1412</v>
      </c>
      <c r="E231" s="63">
        <v>1512</v>
      </c>
      <c r="F231" s="62">
        <v>1549</v>
      </c>
      <c r="G231" s="63">
        <v>1658</v>
      </c>
      <c r="H231" s="62">
        <v>1771</v>
      </c>
      <c r="I231" s="61">
        <v>2202</v>
      </c>
      <c r="J231" s="60" t="s">
        <v>639</v>
      </c>
      <c r="K231" s="60">
        <v>1421</v>
      </c>
    </row>
    <row r="232" spans="1:11" s="38" customFormat="1" ht="29.25" customHeight="1">
      <c r="A232" s="45">
        <v>5701</v>
      </c>
      <c r="B232" s="45" t="s">
        <v>320</v>
      </c>
      <c r="C232" s="59">
        <v>1197</v>
      </c>
      <c r="D232" s="58">
        <v>1362</v>
      </c>
      <c r="E232" s="57">
        <v>1458</v>
      </c>
      <c r="F232" s="56">
        <v>1494</v>
      </c>
      <c r="G232" s="57">
        <v>1599</v>
      </c>
      <c r="H232" s="56">
        <v>1708</v>
      </c>
      <c r="I232" s="55">
        <v>2123</v>
      </c>
      <c r="J232" s="54" t="s">
        <v>639</v>
      </c>
      <c r="K232" s="54">
        <v>1284</v>
      </c>
    </row>
    <row r="233" spans="1:11" s="38" customFormat="1" ht="29.25" customHeight="1">
      <c r="A233" s="53">
        <v>5702</v>
      </c>
      <c r="B233" s="45" t="s">
        <v>319</v>
      </c>
      <c r="C233" s="52">
        <v>1333</v>
      </c>
      <c r="D233" s="51">
        <v>1517</v>
      </c>
      <c r="E233" s="50">
        <v>1624</v>
      </c>
      <c r="F233" s="49">
        <v>1664</v>
      </c>
      <c r="G233" s="50">
        <v>1781</v>
      </c>
      <c r="H233" s="49">
        <v>1902</v>
      </c>
      <c r="I233" s="48">
        <v>2365</v>
      </c>
      <c r="J233" s="47" t="s">
        <v>639</v>
      </c>
      <c r="K233" s="47">
        <v>1444</v>
      </c>
    </row>
    <row r="234" spans="1:11" s="38" customFormat="1" ht="29.25" customHeight="1">
      <c r="A234" s="53">
        <v>5703</v>
      </c>
      <c r="B234" s="45" t="s">
        <v>318</v>
      </c>
      <c r="C234" s="52">
        <v>1256</v>
      </c>
      <c r="D234" s="51">
        <v>1429</v>
      </c>
      <c r="E234" s="50">
        <v>1530</v>
      </c>
      <c r="F234" s="49">
        <v>1567</v>
      </c>
      <c r="G234" s="50">
        <v>1678</v>
      </c>
      <c r="H234" s="49">
        <v>1792</v>
      </c>
      <c r="I234" s="48">
        <v>2228</v>
      </c>
      <c r="J234" s="47" t="s">
        <v>639</v>
      </c>
      <c r="K234" s="47">
        <v>1403</v>
      </c>
    </row>
    <row r="235" spans="1:11" s="38" customFormat="1" ht="29.25" customHeight="1">
      <c r="A235" s="53">
        <v>5704</v>
      </c>
      <c r="B235" s="45" t="s">
        <v>317</v>
      </c>
      <c r="C235" s="52">
        <v>1169</v>
      </c>
      <c r="D235" s="51">
        <v>1330</v>
      </c>
      <c r="E235" s="50">
        <v>1424</v>
      </c>
      <c r="F235" s="49">
        <v>1459</v>
      </c>
      <c r="G235" s="50">
        <v>1562</v>
      </c>
      <c r="H235" s="49">
        <v>1668</v>
      </c>
      <c r="I235" s="48">
        <v>2074</v>
      </c>
      <c r="J235" s="47" t="s">
        <v>639</v>
      </c>
      <c r="K235" s="47">
        <v>1281</v>
      </c>
    </row>
    <row r="236" spans="1:11" s="38" customFormat="1" ht="29.25" customHeight="1" thickBot="1">
      <c r="A236" s="46">
        <v>5799</v>
      </c>
      <c r="B236" s="45" t="s">
        <v>316</v>
      </c>
      <c r="C236" s="44">
        <v>1336</v>
      </c>
      <c r="D236" s="43">
        <v>1520</v>
      </c>
      <c r="E236" s="42">
        <v>1627</v>
      </c>
      <c r="F236" s="41">
        <v>1667</v>
      </c>
      <c r="G236" s="42">
        <v>1785</v>
      </c>
      <c r="H236" s="41">
        <v>1906</v>
      </c>
      <c r="I236" s="40">
        <v>2370</v>
      </c>
      <c r="J236" s="39" t="s">
        <v>639</v>
      </c>
      <c r="K236" s="39">
        <v>1511</v>
      </c>
    </row>
    <row r="237" spans="1:11" s="38" customFormat="1" ht="29.25" customHeight="1">
      <c r="A237" s="45">
        <v>5801</v>
      </c>
      <c r="B237" s="45" t="s">
        <v>315</v>
      </c>
      <c r="C237" s="59">
        <v>1156</v>
      </c>
      <c r="D237" s="58">
        <v>1316</v>
      </c>
      <c r="E237" s="57">
        <v>1408</v>
      </c>
      <c r="F237" s="56">
        <v>1443</v>
      </c>
      <c r="G237" s="57">
        <v>1544</v>
      </c>
      <c r="H237" s="56">
        <v>1650</v>
      </c>
      <c r="I237" s="55">
        <v>2051</v>
      </c>
      <c r="J237" s="54" t="s">
        <v>639</v>
      </c>
      <c r="K237" s="54">
        <v>1297</v>
      </c>
    </row>
    <row r="238" spans="1:11" s="38" customFormat="1" ht="29.25" customHeight="1">
      <c r="A238" s="53">
        <v>5802</v>
      </c>
      <c r="B238" s="45" t="s">
        <v>314</v>
      </c>
      <c r="C238" s="52" t="s">
        <v>111</v>
      </c>
      <c r="D238" s="51" t="s">
        <v>111</v>
      </c>
      <c r="E238" s="50" t="s">
        <v>111</v>
      </c>
      <c r="F238" s="49" t="s">
        <v>111</v>
      </c>
      <c r="G238" s="50" t="s">
        <v>111</v>
      </c>
      <c r="H238" s="49" t="s">
        <v>111</v>
      </c>
      <c r="I238" s="48" t="s">
        <v>111</v>
      </c>
      <c r="J238" s="47" t="s">
        <v>639</v>
      </c>
      <c r="K238" s="47" t="s">
        <v>111</v>
      </c>
    </row>
    <row r="239" spans="1:11" s="38" customFormat="1" ht="29.25" customHeight="1">
      <c r="A239" s="53">
        <v>5803</v>
      </c>
      <c r="B239" s="45" t="s">
        <v>313</v>
      </c>
      <c r="C239" s="52">
        <v>1205</v>
      </c>
      <c r="D239" s="51">
        <v>1371</v>
      </c>
      <c r="E239" s="50">
        <v>1468</v>
      </c>
      <c r="F239" s="49">
        <v>1504</v>
      </c>
      <c r="G239" s="50">
        <v>1610</v>
      </c>
      <c r="H239" s="49">
        <v>1720</v>
      </c>
      <c r="I239" s="48">
        <v>2138</v>
      </c>
      <c r="J239" s="47" t="s">
        <v>639</v>
      </c>
      <c r="K239" s="47">
        <v>1371</v>
      </c>
    </row>
    <row r="240" spans="1:11" s="38" customFormat="1" ht="29.25" customHeight="1">
      <c r="A240" s="53">
        <v>5804</v>
      </c>
      <c r="B240" s="45" t="s">
        <v>312</v>
      </c>
      <c r="C240" s="52">
        <v>1202</v>
      </c>
      <c r="D240" s="51">
        <v>1368</v>
      </c>
      <c r="E240" s="50">
        <v>1464</v>
      </c>
      <c r="F240" s="49">
        <v>1500</v>
      </c>
      <c r="G240" s="50">
        <v>1606</v>
      </c>
      <c r="H240" s="49">
        <v>1715</v>
      </c>
      <c r="I240" s="48">
        <v>2132</v>
      </c>
      <c r="J240" s="47">
        <v>1210</v>
      </c>
      <c r="K240" s="47">
        <v>1389</v>
      </c>
    </row>
    <row r="241" spans="1:11" s="38" customFormat="1" ht="29.25" customHeight="1">
      <c r="A241" s="53">
        <v>5805</v>
      </c>
      <c r="B241" s="45" t="s">
        <v>311</v>
      </c>
      <c r="C241" s="52">
        <v>1222</v>
      </c>
      <c r="D241" s="51">
        <v>1391</v>
      </c>
      <c r="E241" s="50">
        <v>1488</v>
      </c>
      <c r="F241" s="49">
        <v>1525</v>
      </c>
      <c r="G241" s="50">
        <v>1633</v>
      </c>
      <c r="H241" s="49">
        <v>1744</v>
      </c>
      <c r="I241" s="48">
        <v>2168</v>
      </c>
      <c r="J241" s="47">
        <v>1234</v>
      </c>
      <c r="K241" s="47">
        <v>1338</v>
      </c>
    </row>
    <row r="242" spans="1:11" s="38" customFormat="1" ht="29.25" customHeight="1">
      <c r="A242" s="53">
        <v>5806</v>
      </c>
      <c r="B242" s="45" t="s">
        <v>310</v>
      </c>
      <c r="C242" s="52">
        <v>1233</v>
      </c>
      <c r="D242" s="51">
        <v>1403</v>
      </c>
      <c r="E242" s="50">
        <v>1502</v>
      </c>
      <c r="F242" s="49">
        <v>1539</v>
      </c>
      <c r="G242" s="50">
        <v>1647</v>
      </c>
      <c r="H242" s="49">
        <v>1759</v>
      </c>
      <c r="I242" s="48">
        <v>2187</v>
      </c>
      <c r="J242" s="47" t="s">
        <v>639</v>
      </c>
      <c r="K242" s="47">
        <v>1403</v>
      </c>
    </row>
    <row r="243" spans="1:11" s="38" customFormat="1" ht="29.25" customHeight="1">
      <c r="A243" s="53">
        <v>5807</v>
      </c>
      <c r="B243" s="45" t="s">
        <v>309</v>
      </c>
      <c r="C243" s="52">
        <v>1102</v>
      </c>
      <c r="D243" s="51">
        <v>1254</v>
      </c>
      <c r="E243" s="50">
        <v>1342</v>
      </c>
      <c r="F243" s="49">
        <v>1375</v>
      </c>
      <c r="G243" s="50">
        <v>1472</v>
      </c>
      <c r="H243" s="49">
        <v>1573</v>
      </c>
      <c r="I243" s="48">
        <v>1955</v>
      </c>
      <c r="J243" s="47" t="s">
        <v>639</v>
      </c>
      <c r="K243" s="47">
        <v>1238</v>
      </c>
    </row>
    <row r="244" spans="1:11" s="38" customFormat="1" ht="29.25" customHeight="1">
      <c r="A244" s="53">
        <v>5808</v>
      </c>
      <c r="B244" s="45" t="s">
        <v>308</v>
      </c>
      <c r="C244" s="52">
        <v>1200</v>
      </c>
      <c r="D244" s="51">
        <v>1366</v>
      </c>
      <c r="E244" s="50">
        <v>1462</v>
      </c>
      <c r="F244" s="49">
        <v>1498</v>
      </c>
      <c r="G244" s="50">
        <v>1603</v>
      </c>
      <c r="H244" s="49">
        <v>1712</v>
      </c>
      <c r="I244" s="48">
        <v>2129</v>
      </c>
      <c r="J244" s="47" t="s">
        <v>639</v>
      </c>
      <c r="K244" s="47">
        <v>1405</v>
      </c>
    </row>
    <row r="245" spans="1:11" s="38" customFormat="1" ht="29.25" customHeight="1">
      <c r="A245" s="66">
        <v>5899</v>
      </c>
      <c r="B245" s="45" t="s">
        <v>307</v>
      </c>
      <c r="C245" s="65">
        <v>1260</v>
      </c>
      <c r="D245" s="64">
        <v>1434</v>
      </c>
      <c r="E245" s="63">
        <v>1535</v>
      </c>
      <c r="F245" s="62">
        <v>1572</v>
      </c>
      <c r="G245" s="63">
        <v>1683</v>
      </c>
      <c r="H245" s="62">
        <v>1798</v>
      </c>
      <c r="I245" s="61">
        <v>2235</v>
      </c>
      <c r="J245" s="60" t="s">
        <v>639</v>
      </c>
      <c r="K245" s="60">
        <v>1436</v>
      </c>
    </row>
    <row r="246" spans="1:11" s="38" customFormat="1" ht="29.25" customHeight="1">
      <c r="A246" s="45">
        <v>5901</v>
      </c>
      <c r="B246" s="45" t="s">
        <v>306</v>
      </c>
      <c r="C246" s="59">
        <v>1156</v>
      </c>
      <c r="D246" s="58">
        <v>1316</v>
      </c>
      <c r="E246" s="57">
        <v>1408</v>
      </c>
      <c r="F246" s="56">
        <v>1443</v>
      </c>
      <c r="G246" s="57">
        <v>1544</v>
      </c>
      <c r="H246" s="56">
        <v>1650</v>
      </c>
      <c r="I246" s="55">
        <v>2051</v>
      </c>
      <c r="J246" s="54" t="s">
        <v>639</v>
      </c>
      <c r="K246" s="54">
        <v>1233</v>
      </c>
    </row>
    <row r="247" spans="1:11" s="38" customFormat="1" ht="29.25" customHeight="1">
      <c r="A247" s="53">
        <v>5902</v>
      </c>
      <c r="B247" s="45" t="s">
        <v>305</v>
      </c>
      <c r="C247" s="52">
        <v>1169</v>
      </c>
      <c r="D247" s="51">
        <v>1330</v>
      </c>
      <c r="E247" s="50">
        <v>1424</v>
      </c>
      <c r="F247" s="49">
        <v>1459</v>
      </c>
      <c r="G247" s="50">
        <v>1562</v>
      </c>
      <c r="H247" s="49">
        <v>1668</v>
      </c>
      <c r="I247" s="48">
        <v>2074</v>
      </c>
      <c r="J247" s="47" t="s">
        <v>639</v>
      </c>
      <c r="K247" s="47">
        <v>1282</v>
      </c>
    </row>
    <row r="248" spans="1:11" s="38" customFormat="1" ht="29.25" customHeight="1" thickBot="1">
      <c r="A248" s="66">
        <v>5999</v>
      </c>
      <c r="B248" s="45" t="s">
        <v>304</v>
      </c>
      <c r="C248" s="65">
        <v>1202</v>
      </c>
      <c r="D248" s="64">
        <v>1368</v>
      </c>
      <c r="E248" s="63">
        <v>1464</v>
      </c>
      <c r="F248" s="62">
        <v>1500</v>
      </c>
      <c r="G248" s="63">
        <v>1606</v>
      </c>
      <c r="H248" s="62">
        <v>1715</v>
      </c>
      <c r="I248" s="61">
        <v>2132</v>
      </c>
      <c r="J248" s="60" t="s">
        <v>639</v>
      </c>
      <c r="K248" s="60">
        <v>1280</v>
      </c>
    </row>
    <row r="249" spans="1:11" s="38" customFormat="1" ht="29.25" customHeight="1">
      <c r="A249" s="80">
        <v>6001</v>
      </c>
      <c r="B249" s="45" t="s">
        <v>303</v>
      </c>
      <c r="C249" s="92">
        <v>1271</v>
      </c>
      <c r="D249" s="78">
        <v>1446</v>
      </c>
      <c r="E249" s="77">
        <v>1548</v>
      </c>
      <c r="F249" s="76">
        <v>1586</v>
      </c>
      <c r="G249" s="77">
        <v>1698</v>
      </c>
      <c r="H249" s="76">
        <v>1814</v>
      </c>
      <c r="I249" s="75">
        <v>2255</v>
      </c>
      <c r="J249" s="74" t="s">
        <v>639</v>
      </c>
      <c r="K249" s="74">
        <v>1324</v>
      </c>
    </row>
    <row r="250" spans="1:11" s="38" customFormat="1" ht="29.25" customHeight="1">
      <c r="A250" s="45">
        <v>6101</v>
      </c>
      <c r="B250" s="45" t="s">
        <v>302</v>
      </c>
      <c r="C250" s="59">
        <v>1392</v>
      </c>
      <c r="D250" s="58">
        <v>1584</v>
      </c>
      <c r="E250" s="57">
        <v>1695</v>
      </c>
      <c r="F250" s="56">
        <v>1737</v>
      </c>
      <c r="G250" s="57">
        <v>1860</v>
      </c>
      <c r="H250" s="56">
        <v>1986</v>
      </c>
      <c r="I250" s="55">
        <v>2469</v>
      </c>
      <c r="J250" s="54" t="s">
        <v>639</v>
      </c>
      <c r="K250" s="54">
        <v>1458</v>
      </c>
    </row>
    <row r="251" spans="1:11" s="38" customFormat="1" ht="29.25" customHeight="1">
      <c r="A251" s="66">
        <v>6199</v>
      </c>
      <c r="B251" s="45" t="s">
        <v>301</v>
      </c>
      <c r="C251" s="65" t="s">
        <v>111</v>
      </c>
      <c r="D251" s="64" t="s">
        <v>111</v>
      </c>
      <c r="E251" s="63" t="s">
        <v>111</v>
      </c>
      <c r="F251" s="62" t="s">
        <v>111</v>
      </c>
      <c r="G251" s="63" t="s">
        <v>111</v>
      </c>
      <c r="H251" s="62" t="s">
        <v>111</v>
      </c>
      <c r="I251" s="61" t="s">
        <v>111</v>
      </c>
      <c r="J251" s="60" t="s">
        <v>639</v>
      </c>
      <c r="K251" s="60" t="s">
        <v>111</v>
      </c>
    </row>
    <row r="252" spans="1:11" s="38" customFormat="1" ht="29.25" customHeight="1">
      <c r="A252" s="45">
        <v>6201</v>
      </c>
      <c r="B252" s="45" t="s">
        <v>300</v>
      </c>
      <c r="C252" s="59" t="s">
        <v>111</v>
      </c>
      <c r="D252" s="58" t="s">
        <v>111</v>
      </c>
      <c r="E252" s="57" t="s">
        <v>111</v>
      </c>
      <c r="F252" s="56" t="s">
        <v>111</v>
      </c>
      <c r="G252" s="57" t="s">
        <v>111</v>
      </c>
      <c r="H252" s="56" t="s">
        <v>111</v>
      </c>
      <c r="I252" s="55" t="s">
        <v>111</v>
      </c>
      <c r="J252" s="54" t="s">
        <v>639</v>
      </c>
      <c r="K252" s="54" t="s">
        <v>111</v>
      </c>
    </row>
    <row r="253" spans="1:11" s="38" customFormat="1" ht="29.25" customHeight="1">
      <c r="A253" s="66">
        <v>6202</v>
      </c>
      <c r="B253" s="45" t="s">
        <v>299</v>
      </c>
      <c r="C253" s="65">
        <v>1134</v>
      </c>
      <c r="D253" s="64">
        <v>1290</v>
      </c>
      <c r="E253" s="63">
        <v>1381</v>
      </c>
      <c r="F253" s="62">
        <v>1415</v>
      </c>
      <c r="G253" s="63">
        <v>1515</v>
      </c>
      <c r="H253" s="62">
        <v>1618</v>
      </c>
      <c r="I253" s="61">
        <v>2012</v>
      </c>
      <c r="J253" s="60" t="s">
        <v>639</v>
      </c>
      <c r="K253" s="60">
        <v>1241</v>
      </c>
    </row>
    <row r="254" spans="1:11" s="38" customFormat="1" ht="29.25" customHeight="1" thickBot="1">
      <c r="A254" s="80">
        <v>6399</v>
      </c>
      <c r="B254" s="45" t="s">
        <v>298</v>
      </c>
      <c r="C254" s="79">
        <v>1209</v>
      </c>
      <c r="D254" s="78">
        <v>1376</v>
      </c>
      <c r="E254" s="77">
        <v>1473</v>
      </c>
      <c r="F254" s="76">
        <v>1509</v>
      </c>
      <c r="G254" s="77">
        <v>1615</v>
      </c>
      <c r="H254" s="76">
        <v>1725</v>
      </c>
      <c r="I254" s="75">
        <v>2145</v>
      </c>
      <c r="J254" s="74" t="s">
        <v>639</v>
      </c>
      <c r="K254" s="74">
        <v>1369</v>
      </c>
    </row>
    <row r="255" spans="1:11" s="38" customFormat="1" ht="29.25" customHeight="1">
      <c r="A255" s="87">
        <v>6401</v>
      </c>
      <c r="B255" s="45" t="s">
        <v>297</v>
      </c>
      <c r="C255" s="86">
        <v>1138</v>
      </c>
      <c r="D255" s="85">
        <v>1295</v>
      </c>
      <c r="E255" s="84">
        <v>1386</v>
      </c>
      <c r="F255" s="83">
        <v>1420</v>
      </c>
      <c r="G255" s="84">
        <v>1520</v>
      </c>
      <c r="H255" s="83">
        <v>1624</v>
      </c>
      <c r="I255" s="82">
        <v>2019</v>
      </c>
      <c r="J255" s="81" t="s">
        <v>639</v>
      </c>
      <c r="K255" s="81">
        <v>1271</v>
      </c>
    </row>
    <row r="256" spans="1:11" s="38" customFormat="1" ht="29.25" customHeight="1">
      <c r="A256" s="53">
        <v>6402</v>
      </c>
      <c r="B256" s="45" t="s">
        <v>296</v>
      </c>
      <c r="C256" s="52">
        <v>1124</v>
      </c>
      <c r="D256" s="51">
        <v>1279</v>
      </c>
      <c r="E256" s="50">
        <v>1369</v>
      </c>
      <c r="F256" s="49">
        <v>1403</v>
      </c>
      <c r="G256" s="50">
        <v>1502</v>
      </c>
      <c r="H256" s="49">
        <v>1604</v>
      </c>
      <c r="I256" s="48">
        <v>1994</v>
      </c>
      <c r="J256" s="47" t="s">
        <v>639</v>
      </c>
      <c r="K256" s="47">
        <v>1239</v>
      </c>
    </row>
    <row r="257" spans="1:11" s="38" customFormat="1" ht="29.25" customHeight="1">
      <c r="A257" s="53">
        <v>6403</v>
      </c>
      <c r="B257" s="45" t="s">
        <v>295</v>
      </c>
      <c r="C257" s="52">
        <v>1178</v>
      </c>
      <c r="D257" s="51">
        <v>1341</v>
      </c>
      <c r="E257" s="50">
        <v>1435</v>
      </c>
      <c r="F257" s="49">
        <v>1470</v>
      </c>
      <c r="G257" s="50">
        <v>1574</v>
      </c>
      <c r="H257" s="49">
        <v>1681</v>
      </c>
      <c r="I257" s="48">
        <v>2090</v>
      </c>
      <c r="J257" s="47" t="s">
        <v>639</v>
      </c>
      <c r="K257" s="47">
        <v>1312</v>
      </c>
    </row>
    <row r="258" spans="1:11" s="38" customFormat="1" ht="29.25" customHeight="1">
      <c r="A258" s="53">
        <v>6404</v>
      </c>
      <c r="B258" s="45" t="s">
        <v>294</v>
      </c>
      <c r="C258" s="52">
        <v>1209</v>
      </c>
      <c r="D258" s="51">
        <v>1376</v>
      </c>
      <c r="E258" s="50">
        <v>1473</v>
      </c>
      <c r="F258" s="49">
        <v>1509</v>
      </c>
      <c r="G258" s="50">
        <v>1615</v>
      </c>
      <c r="H258" s="49">
        <v>1725</v>
      </c>
      <c r="I258" s="48">
        <v>2145</v>
      </c>
      <c r="J258" s="47" t="s">
        <v>639</v>
      </c>
      <c r="K258" s="47">
        <v>1439</v>
      </c>
    </row>
    <row r="259" spans="1:11" s="38" customFormat="1" ht="29.25" customHeight="1">
      <c r="A259" s="53">
        <v>6405</v>
      </c>
      <c r="B259" s="45" t="s">
        <v>293</v>
      </c>
      <c r="C259" s="52">
        <v>1270</v>
      </c>
      <c r="D259" s="51">
        <v>1445</v>
      </c>
      <c r="E259" s="50">
        <v>1547</v>
      </c>
      <c r="F259" s="49">
        <v>1585</v>
      </c>
      <c r="G259" s="50">
        <v>1697</v>
      </c>
      <c r="H259" s="49">
        <v>1812</v>
      </c>
      <c r="I259" s="48">
        <v>2253</v>
      </c>
      <c r="J259" s="47" t="s">
        <v>639</v>
      </c>
      <c r="K259" s="47">
        <v>1535</v>
      </c>
    </row>
    <row r="260" spans="1:11" s="38" customFormat="1" ht="29.25" customHeight="1" thickBot="1">
      <c r="A260" s="46">
        <v>6499</v>
      </c>
      <c r="B260" s="45" t="s">
        <v>292</v>
      </c>
      <c r="C260" s="44">
        <v>1152</v>
      </c>
      <c r="D260" s="43">
        <v>1311</v>
      </c>
      <c r="E260" s="42">
        <v>1403</v>
      </c>
      <c r="F260" s="41">
        <v>1438</v>
      </c>
      <c r="G260" s="42">
        <v>1539</v>
      </c>
      <c r="H260" s="41">
        <v>1644</v>
      </c>
      <c r="I260" s="40">
        <v>2044</v>
      </c>
      <c r="J260" s="39" t="s">
        <v>639</v>
      </c>
      <c r="K260" s="39">
        <v>1303</v>
      </c>
    </row>
    <row r="261" spans="1:11" s="38" customFormat="1" ht="29.25" customHeight="1">
      <c r="A261" s="45">
        <v>6501</v>
      </c>
      <c r="B261" s="45" t="s">
        <v>291</v>
      </c>
      <c r="C261" s="59">
        <v>1180</v>
      </c>
      <c r="D261" s="58">
        <v>1343</v>
      </c>
      <c r="E261" s="57">
        <v>1437</v>
      </c>
      <c r="F261" s="56">
        <v>1473</v>
      </c>
      <c r="G261" s="57">
        <v>1576</v>
      </c>
      <c r="H261" s="56">
        <v>1684</v>
      </c>
      <c r="I261" s="55">
        <v>2093</v>
      </c>
      <c r="J261" s="54" t="s">
        <v>639</v>
      </c>
      <c r="K261" s="54">
        <v>1428</v>
      </c>
    </row>
    <row r="262" spans="1:11" s="38" customFormat="1" ht="29.25" customHeight="1">
      <c r="A262" s="53">
        <v>6502</v>
      </c>
      <c r="B262" s="45" t="s">
        <v>290</v>
      </c>
      <c r="C262" s="52">
        <v>1226</v>
      </c>
      <c r="D262" s="51">
        <v>1395</v>
      </c>
      <c r="E262" s="50">
        <v>1493</v>
      </c>
      <c r="F262" s="49">
        <v>1530</v>
      </c>
      <c r="G262" s="50">
        <v>1638</v>
      </c>
      <c r="H262" s="49">
        <v>1750</v>
      </c>
      <c r="I262" s="48">
        <v>2175</v>
      </c>
      <c r="J262" s="47" t="s">
        <v>639</v>
      </c>
      <c r="K262" s="47">
        <v>1463</v>
      </c>
    </row>
    <row r="263" spans="1:11" s="38" customFormat="1" ht="29.25" customHeight="1">
      <c r="A263" s="66">
        <v>6599</v>
      </c>
      <c r="B263" s="45" t="s">
        <v>289</v>
      </c>
      <c r="C263" s="65">
        <v>1170</v>
      </c>
      <c r="D263" s="64">
        <v>1331</v>
      </c>
      <c r="E263" s="63">
        <v>1425</v>
      </c>
      <c r="F263" s="62">
        <v>1460</v>
      </c>
      <c r="G263" s="63">
        <v>1563</v>
      </c>
      <c r="H263" s="62">
        <v>1670</v>
      </c>
      <c r="I263" s="61">
        <v>2076</v>
      </c>
      <c r="J263" s="60" t="s">
        <v>639</v>
      </c>
      <c r="K263" s="60">
        <v>1343</v>
      </c>
    </row>
    <row r="264" spans="1:11" s="38" customFormat="1" ht="29.25" customHeight="1">
      <c r="A264" s="45">
        <v>6601</v>
      </c>
      <c r="B264" s="45" t="s">
        <v>288</v>
      </c>
      <c r="C264" s="59">
        <v>1245</v>
      </c>
      <c r="D264" s="58">
        <v>1417</v>
      </c>
      <c r="E264" s="57">
        <v>1516</v>
      </c>
      <c r="F264" s="56">
        <v>1554</v>
      </c>
      <c r="G264" s="57">
        <v>1663</v>
      </c>
      <c r="H264" s="56">
        <v>1777</v>
      </c>
      <c r="I264" s="55">
        <v>2209</v>
      </c>
      <c r="J264" s="54" t="s">
        <v>639</v>
      </c>
      <c r="K264" s="54">
        <v>1421</v>
      </c>
    </row>
    <row r="265" spans="1:11" s="38" customFormat="1" ht="29.25" customHeight="1">
      <c r="A265" s="53">
        <v>6602</v>
      </c>
      <c r="B265" s="45" t="s">
        <v>287</v>
      </c>
      <c r="C265" s="52" t="s">
        <v>111</v>
      </c>
      <c r="D265" s="51" t="s">
        <v>111</v>
      </c>
      <c r="E265" s="50" t="s">
        <v>111</v>
      </c>
      <c r="F265" s="49" t="s">
        <v>111</v>
      </c>
      <c r="G265" s="50" t="s">
        <v>111</v>
      </c>
      <c r="H265" s="49" t="s">
        <v>111</v>
      </c>
      <c r="I265" s="48" t="s">
        <v>111</v>
      </c>
      <c r="J265" s="47" t="s">
        <v>639</v>
      </c>
      <c r="K265" s="47" t="s">
        <v>111</v>
      </c>
    </row>
    <row r="266" spans="1:11" s="38" customFormat="1" ht="29.25" customHeight="1">
      <c r="A266" s="53">
        <v>6603</v>
      </c>
      <c r="B266" s="45" t="s">
        <v>286</v>
      </c>
      <c r="C266" s="52" t="s">
        <v>111</v>
      </c>
      <c r="D266" s="51" t="s">
        <v>111</v>
      </c>
      <c r="E266" s="50" t="s">
        <v>111</v>
      </c>
      <c r="F266" s="49" t="s">
        <v>111</v>
      </c>
      <c r="G266" s="50" t="s">
        <v>111</v>
      </c>
      <c r="H266" s="49" t="s">
        <v>111</v>
      </c>
      <c r="I266" s="48" t="s">
        <v>111</v>
      </c>
      <c r="J266" s="47" t="s">
        <v>639</v>
      </c>
      <c r="K266" s="47" t="s">
        <v>111</v>
      </c>
    </row>
    <row r="267" spans="1:11" s="38" customFormat="1" ht="29.25" customHeight="1">
      <c r="A267" s="53">
        <v>6604</v>
      </c>
      <c r="B267" s="45" t="s">
        <v>285</v>
      </c>
      <c r="C267" s="52">
        <v>1197</v>
      </c>
      <c r="D267" s="51">
        <v>1362</v>
      </c>
      <c r="E267" s="50">
        <v>1458</v>
      </c>
      <c r="F267" s="49">
        <v>1494</v>
      </c>
      <c r="G267" s="50">
        <v>1599</v>
      </c>
      <c r="H267" s="49">
        <v>1708</v>
      </c>
      <c r="I267" s="48">
        <v>2123</v>
      </c>
      <c r="J267" s="47" t="s">
        <v>639</v>
      </c>
      <c r="K267" s="47">
        <v>1347</v>
      </c>
    </row>
    <row r="268" spans="1:11" s="38" customFormat="1" ht="29.25" customHeight="1">
      <c r="A268" s="66">
        <v>6699</v>
      </c>
      <c r="B268" s="45" t="s">
        <v>284</v>
      </c>
      <c r="C268" s="65">
        <v>1049</v>
      </c>
      <c r="D268" s="64">
        <v>1194</v>
      </c>
      <c r="E268" s="63">
        <v>1278</v>
      </c>
      <c r="F268" s="62">
        <v>1309</v>
      </c>
      <c r="G268" s="63">
        <v>1401</v>
      </c>
      <c r="H268" s="62">
        <v>1497</v>
      </c>
      <c r="I268" s="61">
        <v>1861</v>
      </c>
      <c r="J268" s="60">
        <v>1069</v>
      </c>
      <c r="K268" s="60">
        <v>1153</v>
      </c>
    </row>
    <row r="269" spans="1:11" s="38" customFormat="1" ht="29.25" customHeight="1">
      <c r="A269" s="45">
        <v>6701</v>
      </c>
      <c r="B269" s="45" t="s">
        <v>283</v>
      </c>
      <c r="C269" s="59">
        <v>1199</v>
      </c>
      <c r="D269" s="58">
        <v>1364</v>
      </c>
      <c r="E269" s="57">
        <v>1460</v>
      </c>
      <c r="F269" s="56">
        <v>1496</v>
      </c>
      <c r="G269" s="57">
        <v>1602</v>
      </c>
      <c r="H269" s="56">
        <v>1711</v>
      </c>
      <c r="I269" s="55">
        <v>2127</v>
      </c>
      <c r="J269" s="54" t="s">
        <v>639</v>
      </c>
      <c r="K269" s="54">
        <v>1436</v>
      </c>
    </row>
    <row r="270" spans="1:11" s="38" customFormat="1" ht="29.25" customHeight="1">
      <c r="A270" s="53">
        <v>6702</v>
      </c>
      <c r="B270" s="45" t="s">
        <v>282</v>
      </c>
      <c r="C270" s="52">
        <v>1169</v>
      </c>
      <c r="D270" s="51">
        <v>1330</v>
      </c>
      <c r="E270" s="50">
        <v>1424</v>
      </c>
      <c r="F270" s="49">
        <v>1459</v>
      </c>
      <c r="G270" s="50">
        <v>1562</v>
      </c>
      <c r="H270" s="49">
        <v>1668</v>
      </c>
      <c r="I270" s="48">
        <v>2074</v>
      </c>
      <c r="J270" s="47" t="s">
        <v>639</v>
      </c>
      <c r="K270" s="47">
        <v>1399</v>
      </c>
    </row>
    <row r="271" spans="1:11" s="38" customFormat="1" ht="29.25" customHeight="1">
      <c r="A271" s="53">
        <v>6703</v>
      </c>
      <c r="B271" s="45" t="s">
        <v>281</v>
      </c>
      <c r="C271" s="52">
        <v>1188</v>
      </c>
      <c r="D271" s="51">
        <v>1352</v>
      </c>
      <c r="E271" s="50">
        <v>1447</v>
      </c>
      <c r="F271" s="49">
        <v>1483</v>
      </c>
      <c r="G271" s="50">
        <v>1587</v>
      </c>
      <c r="H271" s="49">
        <v>1695</v>
      </c>
      <c r="I271" s="48">
        <v>2108</v>
      </c>
      <c r="J271" s="47" t="s">
        <v>639</v>
      </c>
      <c r="K271" s="47">
        <v>1427</v>
      </c>
    </row>
    <row r="272" spans="1:11" s="38" customFormat="1" ht="29.25" customHeight="1">
      <c r="A272" s="53">
        <v>6704</v>
      </c>
      <c r="B272" s="45" t="s">
        <v>280</v>
      </c>
      <c r="C272" s="52">
        <v>1146</v>
      </c>
      <c r="D272" s="51">
        <v>1304</v>
      </c>
      <c r="E272" s="50">
        <v>1396</v>
      </c>
      <c r="F272" s="49">
        <v>1430</v>
      </c>
      <c r="G272" s="50">
        <v>1531</v>
      </c>
      <c r="H272" s="49">
        <v>1635</v>
      </c>
      <c r="I272" s="48">
        <v>2033</v>
      </c>
      <c r="J272" s="47" t="s">
        <v>639</v>
      </c>
      <c r="K272" s="47">
        <v>1343</v>
      </c>
    </row>
    <row r="273" spans="1:11" s="38" customFormat="1" ht="29.25" customHeight="1">
      <c r="A273" s="53">
        <v>6705</v>
      </c>
      <c r="B273" s="45" t="s">
        <v>279</v>
      </c>
      <c r="C273" s="52">
        <v>1211</v>
      </c>
      <c r="D273" s="51">
        <v>1378</v>
      </c>
      <c r="E273" s="50">
        <v>1475</v>
      </c>
      <c r="F273" s="49">
        <v>1511</v>
      </c>
      <c r="G273" s="50">
        <v>1618</v>
      </c>
      <c r="H273" s="49">
        <v>1728</v>
      </c>
      <c r="I273" s="48">
        <v>2148</v>
      </c>
      <c r="J273" s="47" t="s">
        <v>639</v>
      </c>
      <c r="K273" s="47">
        <v>1461</v>
      </c>
    </row>
    <row r="274" spans="1:11" s="38" customFormat="1" ht="29.25" customHeight="1">
      <c r="A274" s="53">
        <v>6706</v>
      </c>
      <c r="B274" s="45" t="s">
        <v>278</v>
      </c>
      <c r="C274" s="52">
        <v>1186</v>
      </c>
      <c r="D274" s="51">
        <v>1350</v>
      </c>
      <c r="E274" s="50">
        <v>1445</v>
      </c>
      <c r="F274" s="49">
        <v>1480</v>
      </c>
      <c r="G274" s="50">
        <v>1584</v>
      </c>
      <c r="H274" s="49">
        <v>1692</v>
      </c>
      <c r="I274" s="48">
        <v>2104</v>
      </c>
      <c r="J274" s="47" t="s">
        <v>639</v>
      </c>
      <c r="K274" s="47">
        <v>1444</v>
      </c>
    </row>
    <row r="275" spans="1:11" s="38" customFormat="1" ht="29.25" customHeight="1">
      <c r="A275" s="53">
        <v>6707</v>
      </c>
      <c r="B275" s="45" t="s">
        <v>277</v>
      </c>
      <c r="C275" s="52">
        <v>1163</v>
      </c>
      <c r="D275" s="51">
        <v>1323</v>
      </c>
      <c r="E275" s="50">
        <v>1417</v>
      </c>
      <c r="F275" s="49">
        <v>1451</v>
      </c>
      <c r="G275" s="50">
        <v>1554</v>
      </c>
      <c r="H275" s="49">
        <v>1660</v>
      </c>
      <c r="I275" s="48">
        <v>2063</v>
      </c>
      <c r="J275" s="47" t="s">
        <v>639</v>
      </c>
      <c r="K275" s="47">
        <v>1377</v>
      </c>
    </row>
    <row r="276" spans="1:11" s="38" customFormat="1" ht="29.25" customHeight="1">
      <c r="A276" s="53">
        <v>6708</v>
      </c>
      <c r="B276" s="45" t="s">
        <v>276</v>
      </c>
      <c r="C276" s="52">
        <v>1197</v>
      </c>
      <c r="D276" s="51">
        <v>1362</v>
      </c>
      <c r="E276" s="50">
        <v>1458</v>
      </c>
      <c r="F276" s="49">
        <v>1494</v>
      </c>
      <c r="G276" s="50">
        <v>1599</v>
      </c>
      <c r="H276" s="49">
        <v>1708</v>
      </c>
      <c r="I276" s="48">
        <v>2123</v>
      </c>
      <c r="J276" s="47" t="s">
        <v>639</v>
      </c>
      <c r="K276" s="47">
        <v>1424</v>
      </c>
    </row>
    <row r="277" spans="1:11" s="38" customFormat="1" ht="29.25" customHeight="1">
      <c r="A277" s="66">
        <v>6799</v>
      </c>
      <c r="B277" s="45" t="s">
        <v>275</v>
      </c>
      <c r="C277" s="65">
        <v>1183</v>
      </c>
      <c r="D277" s="64">
        <v>1346</v>
      </c>
      <c r="E277" s="63">
        <v>1441</v>
      </c>
      <c r="F277" s="62">
        <v>1476</v>
      </c>
      <c r="G277" s="63">
        <v>1580</v>
      </c>
      <c r="H277" s="62">
        <v>1688</v>
      </c>
      <c r="I277" s="61">
        <v>2099</v>
      </c>
      <c r="J277" s="60" t="s">
        <v>639</v>
      </c>
      <c r="K277" s="60">
        <v>1386</v>
      </c>
    </row>
    <row r="278" spans="1:11" s="38" customFormat="1" ht="29.25" customHeight="1">
      <c r="A278" s="45">
        <v>6801</v>
      </c>
      <c r="B278" s="45" t="s">
        <v>274</v>
      </c>
      <c r="C278" s="59">
        <v>1175</v>
      </c>
      <c r="D278" s="58">
        <v>1337</v>
      </c>
      <c r="E278" s="57">
        <v>1431</v>
      </c>
      <c r="F278" s="56">
        <v>1466</v>
      </c>
      <c r="G278" s="57">
        <v>1570</v>
      </c>
      <c r="H278" s="56">
        <v>1677</v>
      </c>
      <c r="I278" s="55">
        <v>2084</v>
      </c>
      <c r="J278" s="54" t="s">
        <v>639</v>
      </c>
      <c r="K278" s="54">
        <v>1337</v>
      </c>
    </row>
    <row r="279" spans="1:11" s="38" customFormat="1" ht="29.25" customHeight="1" thickBot="1">
      <c r="A279" s="46">
        <v>6802</v>
      </c>
      <c r="B279" s="45" t="s">
        <v>273</v>
      </c>
      <c r="C279" s="44">
        <v>1191</v>
      </c>
      <c r="D279" s="43">
        <v>1355</v>
      </c>
      <c r="E279" s="42">
        <v>1451</v>
      </c>
      <c r="F279" s="41">
        <v>1486</v>
      </c>
      <c r="G279" s="42">
        <v>1591</v>
      </c>
      <c r="H279" s="41">
        <v>1700</v>
      </c>
      <c r="I279" s="40">
        <v>2113</v>
      </c>
      <c r="J279" s="39" t="s">
        <v>639</v>
      </c>
      <c r="K279" s="39">
        <v>1339</v>
      </c>
    </row>
    <row r="280" spans="1:11" s="38" customFormat="1" ht="29.25" customHeight="1">
      <c r="A280" s="45">
        <v>6901</v>
      </c>
      <c r="B280" s="45" t="s">
        <v>272</v>
      </c>
      <c r="C280" s="59">
        <v>1173</v>
      </c>
      <c r="D280" s="58">
        <v>1335</v>
      </c>
      <c r="E280" s="57">
        <v>1429</v>
      </c>
      <c r="F280" s="56">
        <v>1464</v>
      </c>
      <c r="G280" s="57">
        <v>1567</v>
      </c>
      <c r="H280" s="56">
        <v>1674</v>
      </c>
      <c r="I280" s="55">
        <v>2081</v>
      </c>
      <c r="J280" s="54" t="s">
        <v>639</v>
      </c>
      <c r="K280" s="54">
        <v>1375</v>
      </c>
    </row>
    <row r="281" spans="1:11" s="38" customFormat="1" ht="29.25" customHeight="1">
      <c r="A281" s="53">
        <v>6902</v>
      </c>
      <c r="B281" s="45" t="s">
        <v>271</v>
      </c>
      <c r="C281" s="52">
        <v>1201</v>
      </c>
      <c r="D281" s="51">
        <v>1367</v>
      </c>
      <c r="E281" s="50">
        <v>1463</v>
      </c>
      <c r="F281" s="49">
        <v>1499</v>
      </c>
      <c r="G281" s="50">
        <v>1605</v>
      </c>
      <c r="H281" s="49">
        <v>1714</v>
      </c>
      <c r="I281" s="48">
        <v>2131</v>
      </c>
      <c r="J281" s="47" t="s">
        <v>639</v>
      </c>
      <c r="K281" s="47">
        <v>1382</v>
      </c>
    </row>
    <row r="282" spans="1:11" s="38" customFormat="1" ht="29.25" customHeight="1">
      <c r="A282" s="53">
        <v>6903</v>
      </c>
      <c r="B282" s="45" t="s">
        <v>270</v>
      </c>
      <c r="C282" s="52">
        <v>1108</v>
      </c>
      <c r="D282" s="51">
        <v>1261</v>
      </c>
      <c r="E282" s="50">
        <v>1350</v>
      </c>
      <c r="F282" s="49">
        <v>1383</v>
      </c>
      <c r="G282" s="50">
        <v>1480</v>
      </c>
      <c r="H282" s="49">
        <v>1581</v>
      </c>
      <c r="I282" s="48">
        <v>1966</v>
      </c>
      <c r="J282" s="47" t="s">
        <v>639</v>
      </c>
      <c r="K282" s="47">
        <v>1257</v>
      </c>
    </row>
    <row r="283" spans="1:11" s="38" customFormat="1" ht="29.25" customHeight="1">
      <c r="A283" s="53">
        <v>6904</v>
      </c>
      <c r="B283" s="45" t="s">
        <v>269</v>
      </c>
      <c r="C283" s="52">
        <v>1162</v>
      </c>
      <c r="D283" s="51">
        <v>1322</v>
      </c>
      <c r="E283" s="50">
        <v>1415</v>
      </c>
      <c r="F283" s="49">
        <v>1450</v>
      </c>
      <c r="G283" s="50">
        <v>1552</v>
      </c>
      <c r="H283" s="49">
        <v>1658</v>
      </c>
      <c r="I283" s="48">
        <v>2061</v>
      </c>
      <c r="J283" s="47" t="s">
        <v>639</v>
      </c>
      <c r="K283" s="47">
        <v>1329</v>
      </c>
    </row>
    <row r="284" spans="1:11" s="38" customFormat="1" ht="29.25" customHeight="1">
      <c r="A284" s="53">
        <v>6905</v>
      </c>
      <c r="B284" s="45" t="s">
        <v>268</v>
      </c>
      <c r="C284" s="52">
        <v>1161</v>
      </c>
      <c r="D284" s="51">
        <v>1321</v>
      </c>
      <c r="E284" s="50">
        <v>1414</v>
      </c>
      <c r="F284" s="49">
        <v>1449</v>
      </c>
      <c r="G284" s="50">
        <v>1551</v>
      </c>
      <c r="H284" s="49">
        <v>1657</v>
      </c>
      <c r="I284" s="48">
        <v>2060</v>
      </c>
      <c r="J284" s="47" t="s">
        <v>639</v>
      </c>
      <c r="K284" s="47">
        <v>1346</v>
      </c>
    </row>
    <row r="285" spans="1:11" s="38" customFormat="1" ht="29.25" customHeight="1">
      <c r="A285" s="53">
        <v>6906</v>
      </c>
      <c r="B285" s="45" t="s">
        <v>267</v>
      </c>
      <c r="C285" s="52">
        <v>1170</v>
      </c>
      <c r="D285" s="51">
        <v>1331</v>
      </c>
      <c r="E285" s="50">
        <v>1425</v>
      </c>
      <c r="F285" s="49">
        <v>1460</v>
      </c>
      <c r="G285" s="50">
        <v>1563</v>
      </c>
      <c r="H285" s="49">
        <v>1670</v>
      </c>
      <c r="I285" s="48">
        <v>2076</v>
      </c>
      <c r="J285" s="47" t="s">
        <v>639</v>
      </c>
      <c r="K285" s="47">
        <v>1353</v>
      </c>
    </row>
    <row r="286" spans="1:11" s="38" customFormat="1" ht="43.5" customHeight="1" thickBot="1">
      <c r="A286" s="91">
        <v>6999</v>
      </c>
      <c r="B286" s="45" t="s">
        <v>266</v>
      </c>
      <c r="C286" s="44">
        <v>1174</v>
      </c>
      <c r="D286" s="43">
        <v>1336</v>
      </c>
      <c r="E286" s="42">
        <v>1430</v>
      </c>
      <c r="F286" s="41">
        <v>1465</v>
      </c>
      <c r="G286" s="42">
        <v>1568</v>
      </c>
      <c r="H286" s="41">
        <v>1675</v>
      </c>
      <c r="I286" s="40">
        <v>2083</v>
      </c>
      <c r="J286" s="39" t="s">
        <v>639</v>
      </c>
      <c r="K286" s="39">
        <v>1360</v>
      </c>
    </row>
    <row r="287" spans="1:11" s="38" customFormat="1" ht="43.5" customHeight="1">
      <c r="A287" s="90">
        <v>7001</v>
      </c>
      <c r="B287" s="45" t="s">
        <v>265</v>
      </c>
      <c r="C287" s="59">
        <v>1192</v>
      </c>
      <c r="D287" s="58">
        <v>1356</v>
      </c>
      <c r="E287" s="57">
        <v>1452</v>
      </c>
      <c r="F287" s="56">
        <v>1488</v>
      </c>
      <c r="G287" s="57">
        <v>1593</v>
      </c>
      <c r="H287" s="56">
        <v>1701</v>
      </c>
      <c r="I287" s="55">
        <v>2115</v>
      </c>
      <c r="J287" s="54" t="s">
        <v>639</v>
      </c>
      <c r="K287" s="54">
        <v>1420</v>
      </c>
    </row>
    <row r="288" spans="1:11" s="38" customFormat="1" ht="29.25" customHeight="1">
      <c r="A288" s="53">
        <v>7002</v>
      </c>
      <c r="B288" s="45" t="s">
        <v>264</v>
      </c>
      <c r="C288" s="52">
        <v>1159</v>
      </c>
      <c r="D288" s="51">
        <v>1319</v>
      </c>
      <c r="E288" s="50">
        <v>1412</v>
      </c>
      <c r="F288" s="49">
        <v>1446</v>
      </c>
      <c r="G288" s="50">
        <v>1548</v>
      </c>
      <c r="H288" s="49">
        <v>1654</v>
      </c>
      <c r="I288" s="48">
        <v>2056</v>
      </c>
      <c r="J288" s="47" t="s">
        <v>639</v>
      </c>
      <c r="K288" s="47">
        <v>1337</v>
      </c>
    </row>
    <row r="289" spans="1:11" s="38" customFormat="1" ht="29.25" customHeight="1">
      <c r="A289" s="53">
        <v>7003</v>
      </c>
      <c r="B289" s="45" t="s">
        <v>263</v>
      </c>
      <c r="C289" s="52">
        <v>1178</v>
      </c>
      <c r="D289" s="51">
        <v>1341</v>
      </c>
      <c r="E289" s="50">
        <v>1435</v>
      </c>
      <c r="F289" s="49">
        <v>1470</v>
      </c>
      <c r="G289" s="50">
        <v>1574</v>
      </c>
      <c r="H289" s="49">
        <v>1681</v>
      </c>
      <c r="I289" s="48">
        <v>2090</v>
      </c>
      <c r="J289" s="47" t="s">
        <v>639</v>
      </c>
      <c r="K289" s="47">
        <v>1360</v>
      </c>
    </row>
    <row r="290" spans="1:11" s="38" customFormat="1" ht="43.5" customHeight="1">
      <c r="A290" s="89">
        <v>7004</v>
      </c>
      <c r="B290" s="45" t="s">
        <v>262</v>
      </c>
      <c r="C290" s="52">
        <v>1231</v>
      </c>
      <c r="D290" s="51">
        <v>1401</v>
      </c>
      <c r="E290" s="50">
        <v>1499</v>
      </c>
      <c r="F290" s="49">
        <v>1536</v>
      </c>
      <c r="G290" s="50">
        <v>1645</v>
      </c>
      <c r="H290" s="49">
        <v>1757</v>
      </c>
      <c r="I290" s="48">
        <v>2184</v>
      </c>
      <c r="J290" s="47" t="s">
        <v>639</v>
      </c>
      <c r="K290" s="47">
        <v>1507</v>
      </c>
    </row>
    <row r="291" spans="1:11" s="38" customFormat="1" ht="29.25" customHeight="1">
      <c r="A291" s="66">
        <v>7005</v>
      </c>
      <c r="B291" s="45" t="s">
        <v>261</v>
      </c>
      <c r="C291" s="65">
        <v>1212</v>
      </c>
      <c r="D291" s="64">
        <v>1379</v>
      </c>
      <c r="E291" s="63">
        <v>1476</v>
      </c>
      <c r="F291" s="62">
        <v>1513</v>
      </c>
      <c r="G291" s="63">
        <v>1619</v>
      </c>
      <c r="H291" s="62">
        <v>1730</v>
      </c>
      <c r="I291" s="61">
        <v>2150</v>
      </c>
      <c r="J291" s="60" t="s">
        <v>639</v>
      </c>
      <c r="K291" s="60">
        <v>1360</v>
      </c>
    </row>
    <row r="292" spans="1:11" s="38" customFormat="1" ht="29.25" customHeight="1">
      <c r="A292" s="45">
        <v>7101</v>
      </c>
      <c r="B292" s="45" t="s">
        <v>260</v>
      </c>
      <c r="C292" s="59">
        <v>1185</v>
      </c>
      <c r="D292" s="58">
        <v>1349</v>
      </c>
      <c r="E292" s="57">
        <v>1443</v>
      </c>
      <c r="F292" s="56">
        <v>1479</v>
      </c>
      <c r="G292" s="57">
        <v>1583</v>
      </c>
      <c r="H292" s="56">
        <v>1691</v>
      </c>
      <c r="I292" s="55">
        <v>2102</v>
      </c>
      <c r="J292" s="54" t="s">
        <v>639</v>
      </c>
      <c r="K292" s="54">
        <v>1382</v>
      </c>
    </row>
    <row r="293" spans="1:11" s="38" customFormat="1" ht="29.25" customHeight="1">
      <c r="A293" s="53">
        <v>7102</v>
      </c>
      <c r="B293" s="45" t="s">
        <v>259</v>
      </c>
      <c r="C293" s="52">
        <v>1196</v>
      </c>
      <c r="D293" s="51">
        <v>1361</v>
      </c>
      <c r="E293" s="50">
        <v>1457</v>
      </c>
      <c r="F293" s="49">
        <v>1493</v>
      </c>
      <c r="G293" s="50">
        <v>1598</v>
      </c>
      <c r="H293" s="49">
        <v>1707</v>
      </c>
      <c r="I293" s="48">
        <v>2122</v>
      </c>
      <c r="J293" s="47" t="s">
        <v>639</v>
      </c>
      <c r="K293" s="47">
        <v>1400</v>
      </c>
    </row>
    <row r="294" spans="1:11" s="38" customFormat="1" ht="29.25" customHeight="1">
      <c r="A294" s="53">
        <v>7103</v>
      </c>
      <c r="B294" s="45" t="s">
        <v>258</v>
      </c>
      <c r="C294" s="52">
        <v>1185</v>
      </c>
      <c r="D294" s="51">
        <v>1349</v>
      </c>
      <c r="E294" s="50">
        <v>1443</v>
      </c>
      <c r="F294" s="49">
        <v>1479</v>
      </c>
      <c r="G294" s="50">
        <v>1583</v>
      </c>
      <c r="H294" s="49">
        <v>1691</v>
      </c>
      <c r="I294" s="48">
        <v>2102</v>
      </c>
      <c r="J294" s="47" t="s">
        <v>639</v>
      </c>
      <c r="K294" s="47">
        <v>1382</v>
      </c>
    </row>
    <row r="295" spans="1:11" s="38" customFormat="1" ht="29.25" customHeight="1">
      <c r="A295" s="53">
        <v>7104</v>
      </c>
      <c r="B295" s="45" t="s">
        <v>257</v>
      </c>
      <c r="C295" s="52">
        <v>1177</v>
      </c>
      <c r="D295" s="51">
        <v>1339</v>
      </c>
      <c r="E295" s="50">
        <v>1434</v>
      </c>
      <c r="F295" s="49">
        <v>1469</v>
      </c>
      <c r="G295" s="50">
        <v>1572</v>
      </c>
      <c r="H295" s="49">
        <v>1680</v>
      </c>
      <c r="I295" s="48">
        <v>2088</v>
      </c>
      <c r="J295" s="47" t="s">
        <v>639</v>
      </c>
      <c r="K295" s="47">
        <v>1405</v>
      </c>
    </row>
    <row r="296" spans="1:11" s="38" customFormat="1" ht="29.25" customHeight="1">
      <c r="A296" s="53">
        <v>7105</v>
      </c>
      <c r="B296" s="45" t="s">
        <v>256</v>
      </c>
      <c r="C296" s="52">
        <v>1168</v>
      </c>
      <c r="D296" s="51">
        <v>1329</v>
      </c>
      <c r="E296" s="50">
        <v>1423</v>
      </c>
      <c r="F296" s="49">
        <v>1458</v>
      </c>
      <c r="G296" s="50">
        <v>1560</v>
      </c>
      <c r="H296" s="49">
        <v>1667</v>
      </c>
      <c r="I296" s="48">
        <v>2072</v>
      </c>
      <c r="J296" s="47" t="s">
        <v>639</v>
      </c>
      <c r="K296" s="47">
        <v>1413</v>
      </c>
    </row>
    <row r="297" spans="1:11" s="38" customFormat="1" ht="29.25" customHeight="1">
      <c r="A297" s="53">
        <v>7106</v>
      </c>
      <c r="B297" s="45" t="s">
        <v>255</v>
      </c>
      <c r="C297" s="52">
        <v>1170</v>
      </c>
      <c r="D297" s="51">
        <v>1331</v>
      </c>
      <c r="E297" s="50">
        <v>1425</v>
      </c>
      <c r="F297" s="49">
        <v>1460</v>
      </c>
      <c r="G297" s="50">
        <v>1563</v>
      </c>
      <c r="H297" s="49">
        <v>1670</v>
      </c>
      <c r="I297" s="48">
        <v>2076</v>
      </c>
      <c r="J297" s="47" t="s">
        <v>639</v>
      </c>
      <c r="K297" s="47">
        <v>1425</v>
      </c>
    </row>
    <row r="298" spans="1:11" s="38" customFormat="1" ht="29.25" customHeight="1">
      <c r="A298" s="53">
        <v>7107</v>
      </c>
      <c r="B298" s="45" t="s">
        <v>254</v>
      </c>
      <c r="C298" s="52">
        <v>1154</v>
      </c>
      <c r="D298" s="51">
        <v>1313</v>
      </c>
      <c r="E298" s="50">
        <v>1406</v>
      </c>
      <c r="F298" s="49">
        <v>1440</v>
      </c>
      <c r="G298" s="50">
        <v>1542</v>
      </c>
      <c r="H298" s="49">
        <v>1647</v>
      </c>
      <c r="I298" s="48">
        <v>2047</v>
      </c>
      <c r="J298" s="47" t="s">
        <v>639</v>
      </c>
      <c r="K298" s="47">
        <v>1361</v>
      </c>
    </row>
    <row r="299" spans="1:11" s="38" customFormat="1" ht="29.25" customHeight="1">
      <c r="A299" s="53">
        <v>7108</v>
      </c>
      <c r="B299" s="45" t="s">
        <v>253</v>
      </c>
      <c r="C299" s="52">
        <v>1217</v>
      </c>
      <c r="D299" s="51">
        <v>1385</v>
      </c>
      <c r="E299" s="50">
        <v>1482</v>
      </c>
      <c r="F299" s="49">
        <v>1519</v>
      </c>
      <c r="G299" s="50">
        <v>1626</v>
      </c>
      <c r="H299" s="49">
        <v>1737</v>
      </c>
      <c r="I299" s="48">
        <v>2159</v>
      </c>
      <c r="J299" s="47" t="s">
        <v>639</v>
      </c>
      <c r="K299" s="47">
        <v>1499</v>
      </c>
    </row>
    <row r="300" spans="1:11" s="38" customFormat="1" ht="29.25" customHeight="1">
      <c r="A300" s="53">
        <v>7109</v>
      </c>
      <c r="B300" s="45" t="s">
        <v>252</v>
      </c>
      <c r="C300" s="52">
        <v>1233</v>
      </c>
      <c r="D300" s="51">
        <v>1403</v>
      </c>
      <c r="E300" s="50">
        <v>1502</v>
      </c>
      <c r="F300" s="49">
        <v>1539</v>
      </c>
      <c r="G300" s="50">
        <v>1647</v>
      </c>
      <c r="H300" s="49">
        <v>1759</v>
      </c>
      <c r="I300" s="48">
        <v>2187</v>
      </c>
      <c r="J300" s="47" t="s">
        <v>639</v>
      </c>
      <c r="K300" s="47">
        <v>1554</v>
      </c>
    </row>
    <row r="301" spans="1:11" s="38" customFormat="1" ht="29.25" customHeight="1">
      <c r="A301" s="53">
        <v>7110</v>
      </c>
      <c r="B301" s="45" t="s">
        <v>251</v>
      </c>
      <c r="C301" s="52">
        <v>1225</v>
      </c>
      <c r="D301" s="51">
        <v>1394</v>
      </c>
      <c r="E301" s="50">
        <v>1492</v>
      </c>
      <c r="F301" s="49">
        <v>1529</v>
      </c>
      <c r="G301" s="50">
        <v>1637</v>
      </c>
      <c r="H301" s="49">
        <v>1748</v>
      </c>
      <c r="I301" s="48">
        <v>2173</v>
      </c>
      <c r="J301" s="47" t="s">
        <v>639</v>
      </c>
      <c r="K301" s="47">
        <v>1525</v>
      </c>
    </row>
    <row r="302" spans="1:11" s="38" customFormat="1" ht="29.25" customHeight="1">
      <c r="A302" s="53">
        <v>7111</v>
      </c>
      <c r="B302" s="45" t="s">
        <v>250</v>
      </c>
      <c r="C302" s="52">
        <v>1156</v>
      </c>
      <c r="D302" s="51">
        <v>1316</v>
      </c>
      <c r="E302" s="50">
        <v>1408</v>
      </c>
      <c r="F302" s="49">
        <v>1443</v>
      </c>
      <c r="G302" s="50">
        <v>1544</v>
      </c>
      <c r="H302" s="49">
        <v>1650</v>
      </c>
      <c r="I302" s="48">
        <v>2051</v>
      </c>
      <c r="J302" s="47" t="s">
        <v>639</v>
      </c>
      <c r="K302" s="47">
        <v>1326</v>
      </c>
    </row>
    <row r="303" spans="1:11" s="38" customFormat="1" ht="29.25" customHeight="1">
      <c r="A303" s="53">
        <v>7112</v>
      </c>
      <c r="B303" s="45" t="s">
        <v>249</v>
      </c>
      <c r="C303" s="52">
        <v>1164</v>
      </c>
      <c r="D303" s="51">
        <v>1325</v>
      </c>
      <c r="E303" s="50">
        <v>1418</v>
      </c>
      <c r="F303" s="49">
        <v>1453</v>
      </c>
      <c r="G303" s="50">
        <v>1555</v>
      </c>
      <c r="H303" s="49">
        <v>1661</v>
      </c>
      <c r="I303" s="48">
        <v>2065</v>
      </c>
      <c r="J303" s="47" t="s">
        <v>639</v>
      </c>
      <c r="K303" s="47">
        <v>1385</v>
      </c>
    </row>
    <row r="304" spans="1:11" s="38" customFormat="1" ht="29.25" customHeight="1">
      <c r="A304" s="53">
        <v>7113</v>
      </c>
      <c r="B304" s="45" t="s">
        <v>248</v>
      </c>
      <c r="C304" s="52">
        <v>1230</v>
      </c>
      <c r="D304" s="51">
        <v>1400</v>
      </c>
      <c r="E304" s="50">
        <v>1498</v>
      </c>
      <c r="F304" s="49">
        <v>1535</v>
      </c>
      <c r="G304" s="50">
        <v>1643</v>
      </c>
      <c r="H304" s="49">
        <v>1755</v>
      </c>
      <c r="I304" s="48">
        <v>2182</v>
      </c>
      <c r="J304" s="47" t="s">
        <v>639</v>
      </c>
      <c r="K304" s="47">
        <v>1496</v>
      </c>
    </row>
    <row r="305" spans="1:11" s="38" customFormat="1" ht="29.25" customHeight="1">
      <c r="A305" s="66">
        <v>7199</v>
      </c>
      <c r="B305" s="45" t="s">
        <v>247</v>
      </c>
      <c r="C305" s="65">
        <v>1187</v>
      </c>
      <c r="D305" s="64">
        <v>1351</v>
      </c>
      <c r="E305" s="63">
        <v>1446</v>
      </c>
      <c r="F305" s="62">
        <v>1481</v>
      </c>
      <c r="G305" s="63">
        <v>1586</v>
      </c>
      <c r="H305" s="62">
        <v>1694</v>
      </c>
      <c r="I305" s="61">
        <v>2106</v>
      </c>
      <c r="J305" s="60" t="s">
        <v>639</v>
      </c>
      <c r="K305" s="60">
        <v>1388</v>
      </c>
    </row>
    <row r="306" spans="1:11" s="38" customFormat="1" ht="29.25" customHeight="1">
      <c r="A306" s="45">
        <v>7201</v>
      </c>
      <c r="B306" s="45" t="s">
        <v>246</v>
      </c>
      <c r="C306" s="59">
        <v>1154</v>
      </c>
      <c r="D306" s="58">
        <v>1313</v>
      </c>
      <c r="E306" s="57">
        <v>1406</v>
      </c>
      <c r="F306" s="56">
        <v>1440</v>
      </c>
      <c r="G306" s="57">
        <v>1542</v>
      </c>
      <c r="H306" s="56">
        <v>1647</v>
      </c>
      <c r="I306" s="55">
        <v>2047</v>
      </c>
      <c r="J306" s="54" t="s">
        <v>639</v>
      </c>
      <c r="K306" s="54">
        <v>1308</v>
      </c>
    </row>
    <row r="307" spans="1:11" s="38" customFormat="1" ht="29.25" customHeight="1">
      <c r="A307" s="53">
        <v>7202</v>
      </c>
      <c r="B307" s="45" t="s">
        <v>245</v>
      </c>
      <c r="C307" s="52">
        <v>1183</v>
      </c>
      <c r="D307" s="51">
        <v>1346</v>
      </c>
      <c r="E307" s="50">
        <v>1441</v>
      </c>
      <c r="F307" s="49">
        <v>1476</v>
      </c>
      <c r="G307" s="50">
        <v>1580</v>
      </c>
      <c r="H307" s="49">
        <v>1688</v>
      </c>
      <c r="I307" s="48">
        <v>2099</v>
      </c>
      <c r="J307" s="47" t="s">
        <v>639</v>
      </c>
      <c r="K307" s="47">
        <v>1326</v>
      </c>
    </row>
    <row r="308" spans="1:11" s="38" customFormat="1" ht="29.25" customHeight="1">
      <c r="A308" s="53">
        <v>7203</v>
      </c>
      <c r="B308" s="45" t="s">
        <v>244</v>
      </c>
      <c r="C308" s="52">
        <v>1123</v>
      </c>
      <c r="D308" s="51">
        <v>1278</v>
      </c>
      <c r="E308" s="50">
        <v>1368</v>
      </c>
      <c r="F308" s="49">
        <v>1402</v>
      </c>
      <c r="G308" s="50">
        <v>1500</v>
      </c>
      <c r="H308" s="49">
        <v>1603</v>
      </c>
      <c r="I308" s="48">
        <v>1992</v>
      </c>
      <c r="J308" s="47" t="s">
        <v>639</v>
      </c>
      <c r="K308" s="47">
        <v>1240</v>
      </c>
    </row>
    <row r="309" spans="1:11" s="38" customFormat="1" ht="29.25" customHeight="1">
      <c r="A309" s="53">
        <v>7204</v>
      </c>
      <c r="B309" s="45" t="s">
        <v>243</v>
      </c>
      <c r="C309" s="52">
        <v>1106</v>
      </c>
      <c r="D309" s="51">
        <v>1259</v>
      </c>
      <c r="E309" s="50">
        <v>1347</v>
      </c>
      <c r="F309" s="49">
        <v>1380</v>
      </c>
      <c r="G309" s="50">
        <v>1478</v>
      </c>
      <c r="H309" s="49">
        <v>1578</v>
      </c>
      <c r="I309" s="48">
        <v>1962</v>
      </c>
      <c r="J309" s="47" t="s">
        <v>639</v>
      </c>
      <c r="K309" s="47">
        <v>1222</v>
      </c>
    </row>
    <row r="310" spans="1:11" s="38" customFormat="1" ht="29.25" customHeight="1">
      <c r="A310" s="53">
        <v>7205</v>
      </c>
      <c r="B310" s="45" t="s">
        <v>242</v>
      </c>
      <c r="C310" s="52">
        <v>1176</v>
      </c>
      <c r="D310" s="51">
        <v>1338</v>
      </c>
      <c r="E310" s="50">
        <v>1432</v>
      </c>
      <c r="F310" s="49">
        <v>1468</v>
      </c>
      <c r="G310" s="50">
        <v>1571</v>
      </c>
      <c r="H310" s="49">
        <v>1678</v>
      </c>
      <c r="I310" s="48">
        <v>2086</v>
      </c>
      <c r="J310" s="47" t="s">
        <v>639</v>
      </c>
      <c r="K310" s="47">
        <v>1291</v>
      </c>
    </row>
    <row r="311" spans="1:11" s="38" customFormat="1" ht="29.25" customHeight="1">
      <c r="A311" s="53">
        <v>7206</v>
      </c>
      <c r="B311" s="45" t="s">
        <v>241</v>
      </c>
      <c r="C311" s="52">
        <v>1129</v>
      </c>
      <c r="D311" s="51">
        <v>1285</v>
      </c>
      <c r="E311" s="50">
        <v>1375</v>
      </c>
      <c r="F311" s="49">
        <v>1409</v>
      </c>
      <c r="G311" s="50">
        <v>1508</v>
      </c>
      <c r="H311" s="49">
        <v>1611</v>
      </c>
      <c r="I311" s="48">
        <v>2003</v>
      </c>
      <c r="J311" s="47" t="s">
        <v>639</v>
      </c>
      <c r="K311" s="47">
        <v>1260</v>
      </c>
    </row>
    <row r="312" spans="1:11" s="38" customFormat="1" ht="29.25" customHeight="1" thickBot="1">
      <c r="A312" s="46">
        <v>7207</v>
      </c>
      <c r="B312" s="45" t="s">
        <v>240</v>
      </c>
      <c r="C312" s="44">
        <v>1129</v>
      </c>
      <c r="D312" s="43">
        <v>1285</v>
      </c>
      <c r="E312" s="42">
        <v>1375</v>
      </c>
      <c r="F312" s="41">
        <v>1409</v>
      </c>
      <c r="G312" s="42">
        <v>1508</v>
      </c>
      <c r="H312" s="41">
        <v>1611</v>
      </c>
      <c r="I312" s="40">
        <v>2003</v>
      </c>
      <c r="J312" s="39" t="s">
        <v>639</v>
      </c>
      <c r="K312" s="39">
        <v>1279</v>
      </c>
    </row>
    <row r="313" spans="1:11" s="38" customFormat="1" ht="29.25" customHeight="1">
      <c r="A313" s="45">
        <v>7301</v>
      </c>
      <c r="B313" s="45" t="s">
        <v>239</v>
      </c>
      <c r="C313" s="59">
        <v>1158</v>
      </c>
      <c r="D313" s="58">
        <v>1318</v>
      </c>
      <c r="E313" s="57">
        <v>1410</v>
      </c>
      <c r="F313" s="56">
        <v>1445</v>
      </c>
      <c r="G313" s="57">
        <v>1547</v>
      </c>
      <c r="H313" s="56">
        <v>1652</v>
      </c>
      <c r="I313" s="55">
        <v>2054</v>
      </c>
      <c r="J313" s="54" t="s">
        <v>639</v>
      </c>
      <c r="K313" s="54">
        <v>1340</v>
      </c>
    </row>
    <row r="314" spans="1:11" s="38" customFormat="1" ht="29.25" customHeight="1">
      <c r="A314" s="53">
        <v>7302</v>
      </c>
      <c r="B314" s="45" t="s">
        <v>238</v>
      </c>
      <c r="C314" s="52">
        <v>1166</v>
      </c>
      <c r="D314" s="51">
        <v>1327</v>
      </c>
      <c r="E314" s="50">
        <v>1420</v>
      </c>
      <c r="F314" s="49">
        <v>1455</v>
      </c>
      <c r="G314" s="50">
        <v>1558</v>
      </c>
      <c r="H314" s="49">
        <v>1664</v>
      </c>
      <c r="I314" s="48">
        <v>2068</v>
      </c>
      <c r="J314" s="47" t="s">
        <v>639</v>
      </c>
      <c r="K314" s="47">
        <v>1343</v>
      </c>
    </row>
    <row r="315" spans="1:11" s="38" customFormat="1" ht="29.25" customHeight="1">
      <c r="A315" s="53">
        <v>7303</v>
      </c>
      <c r="B315" s="45" t="s">
        <v>237</v>
      </c>
      <c r="C315" s="52">
        <v>1050</v>
      </c>
      <c r="D315" s="51">
        <v>1195</v>
      </c>
      <c r="E315" s="50">
        <v>1279</v>
      </c>
      <c r="F315" s="49">
        <v>1310</v>
      </c>
      <c r="G315" s="50">
        <v>1403</v>
      </c>
      <c r="H315" s="49">
        <v>1498</v>
      </c>
      <c r="I315" s="48">
        <v>1863</v>
      </c>
      <c r="J315" s="47" t="s">
        <v>639</v>
      </c>
      <c r="K315" s="47">
        <v>1149</v>
      </c>
    </row>
    <row r="316" spans="1:11" s="38" customFormat="1" ht="29.25" customHeight="1">
      <c r="A316" s="53">
        <v>7304</v>
      </c>
      <c r="B316" s="45" t="s">
        <v>236</v>
      </c>
      <c r="C316" s="52">
        <v>1141</v>
      </c>
      <c r="D316" s="51">
        <v>1298</v>
      </c>
      <c r="E316" s="50">
        <v>1390</v>
      </c>
      <c r="F316" s="49">
        <v>1424</v>
      </c>
      <c r="G316" s="50">
        <v>1524</v>
      </c>
      <c r="H316" s="49">
        <v>1628</v>
      </c>
      <c r="I316" s="48">
        <v>2024</v>
      </c>
      <c r="J316" s="47" t="s">
        <v>639</v>
      </c>
      <c r="K316" s="47">
        <v>1326</v>
      </c>
    </row>
    <row r="317" spans="1:11" s="38" customFormat="1" ht="29.25" customHeight="1">
      <c r="A317" s="53">
        <v>7305</v>
      </c>
      <c r="B317" s="45" t="s">
        <v>235</v>
      </c>
      <c r="C317" s="52">
        <v>1131</v>
      </c>
      <c r="D317" s="51">
        <v>1287</v>
      </c>
      <c r="E317" s="50">
        <v>1378</v>
      </c>
      <c r="F317" s="49">
        <v>1411</v>
      </c>
      <c r="G317" s="50">
        <v>1511</v>
      </c>
      <c r="H317" s="49">
        <v>1614</v>
      </c>
      <c r="I317" s="48">
        <v>2006</v>
      </c>
      <c r="J317" s="47" t="s">
        <v>639</v>
      </c>
      <c r="K317" s="47">
        <v>1277</v>
      </c>
    </row>
    <row r="318" spans="1:11" s="38" customFormat="1" ht="29.25" customHeight="1">
      <c r="A318" s="53">
        <v>7306</v>
      </c>
      <c r="B318" s="45" t="s">
        <v>234</v>
      </c>
      <c r="C318" s="52">
        <v>1161</v>
      </c>
      <c r="D318" s="51">
        <v>1321</v>
      </c>
      <c r="E318" s="50">
        <v>1414</v>
      </c>
      <c r="F318" s="49">
        <v>1449</v>
      </c>
      <c r="G318" s="50">
        <v>1551</v>
      </c>
      <c r="H318" s="49">
        <v>1657</v>
      </c>
      <c r="I318" s="48">
        <v>2060</v>
      </c>
      <c r="J318" s="47" t="s">
        <v>639</v>
      </c>
      <c r="K318" s="47">
        <v>1340</v>
      </c>
    </row>
    <row r="319" spans="1:11" s="38" customFormat="1" ht="29.25" customHeight="1">
      <c r="A319" s="53">
        <v>7307</v>
      </c>
      <c r="B319" s="45" t="s">
        <v>233</v>
      </c>
      <c r="C319" s="52">
        <v>1130</v>
      </c>
      <c r="D319" s="51">
        <v>1286</v>
      </c>
      <c r="E319" s="50">
        <v>1376</v>
      </c>
      <c r="F319" s="49">
        <v>1410</v>
      </c>
      <c r="G319" s="50">
        <v>1510</v>
      </c>
      <c r="H319" s="49">
        <v>1613</v>
      </c>
      <c r="I319" s="48">
        <v>2005</v>
      </c>
      <c r="J319" s="47" t="s">
        <v>639</v>
      </c>
      <c r="K319" s="47">
        <v>1258</v>
      </c>
    </row>
    <row r="320" spans="1:11" s="38" customFormat="1" ht="29.25" customHeight="1">
      <c r="A320" s="53">
        <v>7308</v>
      </c>
      <c r="B320" s="45" t="s">
        <v>232</v>
      </c>
      <c r="C320" s="52">
        <v>1157</v>
      </c>
      <c r="D320" s="51">
        <v>1317</v>
      </c>
      <c r="E320" s="50">
        <v>1409</v>
      </c>
      <c r="F320" s="49">
        <v>1444</v>
      </c>
      <c r="G320" s="50">
        <v>1546</v>
      </c>
      <c r="H320" s="49">
        <v>1651</v>
      </c>
      <c r="I320" s="48">
        <v>2053</v>
      </c>
      <c r="J320" s="47" t="s">
        <v>639</v>
      </c>
      <c r="K320" s="47">
        <v>1340</v>
      </c>
    </row>
    <row r="321" spans="1:11" s="38" customFormat="1" ht="43.5" customHeight="1">
      <c r="A321" s="88">
        <v>7399</v>
      </c>
      <c r="B321" s="45" t="s">
        <v>231</v>
      </c>
      <c r="C321" s="65">
        <v>1151</v>
      </c>
      <c r="D321" s="64">
        <v>1310</v>
      </c>
      <c r="E321" s="63">
        <v>1402</v>
      </c>
      <c r="F321" s="62">
        <v>1436</v>
      </c>
      <c r="G321" s="63">
        <v>1538</v>
      </c>
      <c r="H321" s="62">
        <v>1642</v>
      </c>
      <c r="I321" s="61">
        <v>2042</v>
      </c>
      <c r="J321" s="60" t="s">
        <v>639</v>
      </c>
      <c r="K321" s="60">
        <v>1309</v>
      </c>
    </row>
    <row r="322" spans="1:11" s="38" customFormat="1" ht="29.25" customHeight="1">
      <c r="A322" s="45">
        <v>7401</v>
      </c>
      <c r="B322" s="45" t="s">
        <v>230</v>
      </c>
      <c r="C322" s="59">
        <v>1210</v>
      </c>
      <c r="D322" s="58">
        <v>1377</v>
      </c>
      <c r="E322" s="57">
        <v>1474</v>
      </c>
      <c r="F322" s="56">
        <v>1510</v>
      </c>
      <c r="G322" s="57">
        <v>1617</v>
      </c>
      <c r="H322" s="56">
        <v>1727</v>
      </c>
      <c r="I322" s="55">
        <v>2147</v>
      </c>
      <c r="J322" s="54" t="s">
        <v>639</v>
      </c>
      <c r="K322" s="54">
        <v>1474</v>
      </c>
    </row>
    <row r="323" spans="1:11" s="38" customFormat="1" ht="29.25" customHeight="1">
      <c r="A323" s="53">
        <v>7402</v>
      </c>
      <c r="B323" s="45" t="s">
        <v>229</v>
      </c>
      <c r="C323" s="52">
        <v>1149</v>
      </c>
      <c r="D323" s="51">
        <v>1308</v>
      </c>
      <c r="E323" s="50">
        <v>1399</v>
      </c>
      <c r="F323" s="49">
        <v>1434</v>
      </c>
      <c r="G323" s="50">
        <v>1535</v>
      </c>
      <c r="H323" s="49">
        <v>1640</v>
      </c>
      <c r="I323" s="48">
        <v>2038</v>
      </c>
      <c r="J323" s="47" t="s">
        <v>639</v>
      </c>
      <c r="K323" s="47">
        <v>1381</v>
      </c>
    </row>
    <row r="324" spans="1:11" s="38" customFormat="1" ht="29.25" customHeight="1">
      <c r="A324" s="53">
        <v>7403</v>
      </c>
      <c r="B324" s="45" t="s">
        <v>228</v>
      </c>
      <c r="C324" s="52">
        <v>1166</v>
      </c>
      <c r="D324" s="51">
        <v>1327</v>
      </c>
      <c r="E324" s="50">
        <v>1420</v>
      </c>
      <c r="F324" s="49">
        <v>1455</v>
      </c>
      <c r="G324" s="50">
        <v>1558</v>
      </c>
      <c r="H324" s="49">
        <v>1664</v>
      </c>
      <c r="I324" s="48">
        <v>2068</v>
      </c>
      <c r="J324" s="47" t="s">
        <v>639</v>
      </c>
      <c r="K324" s="47">
        <v>1328</v>
      </c>
    </row>
    <row r="325" spans="1:11" s="38" customFormat="1" ht="29.25" customHeight="1">
      <c r="A325" s="53">
        <v>7404</v>
      </c>
      <c r="B325" s="45" t="s">
        <v>227</v>
      </c>
      <c r="C325" s="52">
        <v>1145</v>
      </c>
      <c r="D325" s="51">
        <v>1303</v>
      </c>
      <c r="E325" s="50">
        <v>1395</v>
      </c>
      <c r="F325" s="49">
        <v>1429</v>
      </c>
      <c r="G325" s="50">
        <v>1530</v>
      </c>
      <c r="H325" s="49">
        <v>1634</v>
      </c>
      <c r="I325" s="48">
        <v>2031</v>
      </c>
      <c r="J325" s="47" t="s">
        <v>639</v>
      </c>
      <c r="K325" s="47">
        <v>1421</v>
      </c>
    </row>
    <row r="326" spans="1:11" s="38" customFormat="1" ht="29.25" customHeight="1">
      <c r="A326" s="53">
        <v>7405</v>
      </c>
      <c r="B326" s="45" t="s">
        <v>226</v>
      </c>
      <c r="C326" s="52">
        <v>1093</v>
      </c>
      <c r="D326" s="51">
        <v>1244</v>
      </c>
      <c r="E326" s="50">
        <v>1331</v>
      </c>
      <c r="F326" s="49">
        <v>1364</v>
      </c>
      <c r="G326" s="50">
        <v>1460</v>
      </c>
      <c r="H326" s="49">
        <v>1560</v>
      </c>
      <c r="I326" s="48">
        <v>1939</v>
      </c>
      <c r="J326" s="47" t="s">
        <v>639</v>
      </c>
      <c r="K326" s="47">
        <v>1272</v>
      </c>
    </row>
    <row r="327" spans="1:11" s="38" customFormat="1" ht="29.25" customHeight="1">
      <c r="A327" s="53">
        <v>7406</v>
      </c>
      <c r="B327" s="45" t="s">
        <v>225</v>
      </c>
      <c r="C327" s="52">
        <v>1170</v>
      </c>
      <c r="D327" s="51">
        <v>1331</v>
      </c>
      <c r="E327" s="50">
        <v>1425</v>
      </c>
      <c r="F327" s="49">
        <v>1460</v>
      </c>
      <c r="G327" s="50">
        <v>1563</v>
      </c>
      <c r="H327" s="49">
        <v>1670</v>
      </c>
      <c r="I327" s="48">
        <v>2076</v>
      </c>
      <c r="J327" s="47" t="s">
        <v>639</v>
      </c>
      <c r="K327" s="47">
        <v>1355</v>
      </c>
    </row>
    <row r="328" spans="1:11" s="38" customFormat="1" ht="29.25" customHeight="1">
      <c r="A328" s="53">
        <v>7407</v>
      </c>
      <c r="B328" s="45" t="s">
        <v>224</v>
      </c>
      <c r="C328" s="52">
        <v>1161</v>
      </c>
      <c r="D328" s="51">
        <v>1321</v>
      </c>
      <c r="E328" s="50">
        <v>1414</v>
      </c>
      <c r="F328" s="49">
        <v>1449</v>
      </c>
      <c r="G328" s="50">
        <v>1551</v>
      </c>
      <c r="H328" s="49">
        <v>1657</v>
      </c>
      <c r="I328" s="48">
        <v>2060</v>
      </c>
      <c r="J328" s="47" t="s">
        <v>639</v>
      </c>
      <c r="K328" s="47">
        <v>1283</v>
      </c>
    </row>
    <row r="329" spans="1:11" s="38" customFormat="1" ht="29.25" customHeight="1">
      <c r="A329" s="53">
        <v>7408</v>
      </c>
      <c r="B329" s="45" t="s">
        <v>223</v>
      </c>
      <c r="C329" s="52">
        <v>1071</v>
      </c>
      <c r="D329" s="51">
        <v>1219</v>
      </c>
      <c r="E329" s="50">
        <v>1304</v>
      </c>
      <c r="F329" s="49">
        <v>1337</v>
      </c>
      <c r="G329" s="50">
        <v>1431</v>
      </c>
      <c r="H329" s="49">
        <v>1528</v>
      </c>
      <c r="I329" s="48">
        <v>1900</v>
      </c>
      <c r="J329" s="47" t="s">
        <v>639</v>
      </c>
      <c r="K329" s="47">
        <v>1200</v>
      </c>
    </row>
    <row r="330" spans="1:11" s="38" customFormat="1" ht="29.25" customHeight="1">
      <c r="A330" s="53">
        <v>7409</v>
      </c>
      <c r="B330" s="45" t="s">
        <v>222</v>
      </c>
      <c r="C330" s="52">
        <v>1097</v>
      </c>
      <c r="D330" s="51">
        <v>1248</v>
      </c>
      <c r="E330" s="50">
        <v>1336</v>
      </c>
      <c r="F330" s="49">
        <v>1369</v>
      </c>
      <c r="G330" s="50">
        <v>1466</v>
      </c>
      <c r="H330" s="49">
        <v>1565</v>
      </c>
      <c r="I330" s="48">
        <v>1946</v>
      </c>
      <c r="J330" s="47" t="s">
        <v>639</v>
      </c>
      <c r="K330" s="47">
        <v>1261</v>
      </c>
    </row>
    <row r="331" spans="1:11" s="38" customFormat="1" ht="29.25" customHeight="1">
      <c r="A331" s="53">
        <v>7410</v>
      </c>
      <c r="B331" s="45" t="s">
        <v>221</v>
      </c>
      <c r="C331" s="52">
        <v>1167</v>
      </c>
      <c r="D331" s="51">
        <v>1328</v>
      </c>
      <c r="E331" s="50">
        <v>1421</v>
      </c>
      <c r="F331" s="49">
        <v>1456</v>
      </c>
      <c r="G331" s="50">
        <v>1559</v>
      </c>
      <c r="H331" s="49">
        <v>1665</v>
      </c>
      <c r="I331" s="48">
        <v>2070</v>
      </c>
      <c r="J331" s="47" t="s">
        <v>639</v>
      </c>
      <c r="K331" s="47">
        <v>1409</v>
      </c>
    </row>
    <row r="332" spans="1:11" s="38" customFormat="1" ht="29.25" customHeight="1">
      <c r="A332" s="53">
        <v>7411</v>
      </c>
      <c r="B332" s="45" t="s">
        <v>220</v>
      </c>
      <c r="C332" s="52">
        <v>1173</v>
      </c>
      <c r="D332" s="51">
        <v>1335</v>
      </c>
      <c r="E332" s="50">
        <v>1429</v>
      </c>
      <c r="F332" s="49">
        <v>1464</v>
      </c>
      <c r="G332" s="50">
        <v>1567</v>
      </c>
      <c r="H332" s="49">
        <v>1674</v>
      </c>
      <c r="I332" s="48">
        <v>2081</v>
      </c>
      <c r="J332" s="47" t="s">
        <v>639</v>
      </c>
      <c r="K332" s="47">
        <v>1347</v>
      </c>
    </row>
    <row r="333" spans="1:11" s="38" customFormat="1" ht="29.25" customHeight="1">
      <c r="A333" s="53">
        <v>7412</v>
      </c>
      <c r="B333" s="45" t="s">
        <v>219</v>
      </c>
      <c r="C333" s="52">
        <v>1168</v>
      </c>
      <c r="D333" s="51">
        <v>1329</v>
      </c>
      <c r="E333" s="50">
        <v>1423</v>
      </c>
      <c r="F333" s="49">
        <v>1458</v>
      </c>
      <c r="G333" s="50">
        <v>1560</v>
      </c>
      <c r="H333" s="49">
        <v>1667</v>
      </c>
      <c r="I333" s="48">
        <v>2072</v>
      </c>
      <c r="J333" s="47" t="s">
        <v>639</v>
      </c>
      <c r="K333" s="47">
        <v>1378</v>
      </c>
    </row>
    <row r="334" spans="1:11" s="38" customFormat="1" ht="29.25" customHeight="1" thickBot="1">
      <c r="A334" s="46">
        <v>7413</v>
      </c>
      <c r="B334" s="45" t="s">
        <v>218</v>
      </c>
      <c r="C334" s="44">
        <v>1124</v>
      </c>
      <c r="D334" s="43">
        <v>1279</v>
      </c>
      <c r="E334" s="42">
        <v>1369</v>
      </c>
      <c r="F334" s="41">
        <v>1403</v>
      </c>
      <c r="G334" s="42">
        <v>1502</v>
      </c>
      <c r="H334" s="41">
        <v>1604</v>
      </c>
      <c r="I334" s="40">
        <v>1994</v>
      </c>
      <c r="J334" s="39" t="s">
        <v>639</v>
      </c>
      <c r="K334" s="39">
        <v>1298</v>
      </c>
    </row>
    <row r="335" spans="1:11" s="38" customFormat="1" ht="29.25" customHeight="1">
      <c r="A335" s="45">
        <v>7501</v>
      </c>
      <c r="B335" s="45" t="s">
        <v>217</v>
      </c>
      <c r="C335" s="59">
        <v>1223</v>
      </c>
      <c r="D335" s="58">
        <v>1392</v>
      </c>
      <c r="E335" s="57">
        <v>1490</v>
      </c>
      <c r="F335" s="56">
        <v>1526</v>
      </c>
      <c r="G335" s="57">
        <v>1634</v>
      </c>
      <c r="H335" s="56">
        <v>1745</v>
      </c>
      <c r="I335" s="55">
        <v>2170</v>
      </c>
      <c r="J335" s="54" t="s">
        <v>639</v>
      </c>
      <c r="K335" s="54">
        <v>1491</v>
      </c>
    </row>
    <row r="336" spans="1:11" s="38" customFormat="1" ht="29.25" customHeight="1">
      <c r="A336" s="53">
        <v>7502</v>
      </c>
      <c r="B336" s="45" t="s">
        <v>216</v>
      </c>
      <c r="C336" s="52">
        <v>1242</v>
      </c>
      <c r="D336" s="51">
        <v>1413</v>
      </c>
      <c r="E336" s="50">
        <v>1513</v>
      </c>
      <c r="F336" s="49">
        <v>1550</v>
      </c>
      <c r="G336" s="50">
        <v>1659</v>
      </c>
      <c r="H336" s="49">
        <v>1772</v>
      </c>
      <c r="I336" s="48">
        <v>2203</v>
      </c>
      <c r="J336" s="47" t="s">
        <v>639</v>
      </c>
      <c r="K336" s="47">
        <v>1588</v>
      </c>
    </row>
    <row r="337" spans="1:11" s="38" customFormat="1" ht="29.25" customHeight="1">
      <c r="A337" s="53">
        <v>7503</v>
      </c>
      <c r="B337" s="45" t="s">
        <v>215</v>
      </c>
      <c r="C337" s="52">
        <v>1215</v>
      </c>
      <c r="D337" s="51">
        <v>1383</v>
      </c>
      <c r="E337" s="50">
        <v>1480</v>
      </c>
      <c r="F337" s="49">
        <v>1516</v>
      </c>
      <c r="G337" s="50">
        <v>1623</v>
      </c>
      <c r="H337" s="49">
        <v>1734</v>
      </c>
      <c r="I337" s="48">
        <v>2155</v>
      </c>
      <c r="J337" s="47" t="s">
        <v>639</v>
      </c>
      <c r="K337" s="47">
        <v>1482</v>
      </c>
    </row>
    <row r="338" spans="1:11" s="38" customFormat="1" ht="29.25" customHeight="1">
      <c r="A338" s="53">
        <v>7504</v>
      </c>
      <c r="B338" s="45" t="s">
        <v>214</v>
      </c>
      <c r="C338" s="52">
        <v>1218</v>
      </c>
      <c r="D338" s="51">
        <v>1386</v>
      </c>
      <c r="E338" s="50">
        <v>1484</v>
      </c>
      <c r="F338" s="49">
        <v>1520</v>
      </c>
      <c r="G338" s="50">
        <v>1627</v>
      </c>
      <c r="H338" s="49">
        <v>1738</v>
      </c>
      <c r="I338" s="48">
        <v>2161</v>
      </c>
      <c r="J338" s="47" t="s">
        <v>639</v>
      </c>
      <c r="K338" s="47">
        <v>1465</v>
      </c>
    </row>
    <row r="339" spans="1:11" s="38" customFormat="1" ht="29.25" customHeight="1" thickBot="1">
      <c r="A339" s="66">
        <v>7505</v>
      </c>
      <c r="B339" s="45" t="s">
        <v>213</v>
      </c>
      <c r="C339" s="65">
        <v>1268</v>
      </c>
      <c r="D339" s="64">
        <v>1443</v>
      </c>
      <c r="E339" s="63">
        <v>1544</v>
      </c>
      <c r="F339" s="62">
        <v>1582</v>
      </c>
      <c r="G339" s="63">
        <v>1694</v>
      </c>
      <c r="H339" s="62">
        <v>1809</v>
      </c>
      <c r="I339" s="61">
        <v>2249</v>
      </c>
      <c r="J339" s="60" t="s">
        <v>639</v>
      </c>
      <c r="K339" s="60">
        <v>1494</v>
      </c>
    </row>
    <row r="340" spans="1:11" s="38" customFormat="1" ht="29.25" customHeight="1">
      <c r="A340" s="87">
        <v>7601</v>
      </c>
      <c r="B340" s="45" t="s">
        <v>212</v>
      </c>
      <c r="C340" s="86">
        <v>1155</v>
      </c>
      <c r="D340" s="85">
        <v>1314</v>
      </c>
      <c r="E340" s="84">
        <v>1407</v>
      </c>
      <c r="F340" s="83">
        <v>1441</v>
      </c>
      <c r="G340" s="84">
        <v>1543</v>
      </c>
      <c r="H340" s="83">
        <v>1648</v>
      </c>
      <c r="I340" s="82">
        <v>2049</v>
      </c>
      <c r="J340" s="81" t="s">
        <v>639</v>
      </c>
      <c r="K340" s="81">
        <v>1329</v>
      </c>
    </row>
    <row r="341" spans="1:11" s="38" customFormat="1" ht="29.25" customHeight="1" thickBot="1">
      <c r="A341" s="46">
        <v>7602</v>
      </c>
      <c r="B341" s="45" t="s">
        <v>211</v>
      </c>
      <c r="C341" s="44">
        <v>1153</v>
      </c>
      <c r="D341" s="43">
        <v>1312</v>
      </c>
      <c r="E341" s="42">
        <v>1404</v>
      </c>
      <c r="F341" s="41">
        <v>1439</v>
      </c>
      <c r="G341" s="42">
        <v>1540</v>
      </c>
      <c r="H341" s="41">
        <v>1645</v>
      </c>
      <c r="I341" s="40">
        <v>2045</v>
      </c>
      <c r="J341" s="39" t="s">
        <v>639</v>
      </c>
      <c r="K341" s="39">
        <v>1362</v>
      </c>
    </row>
    <row r="342" spans="1:11" s="38" customFormat="1" ht="29.25" customHeight="1">
      <c r="A342" s="45">
        <v>7701</v>
      </c>
      <c r="B342" s="45" t="s">
        <v>210</v>
      </c>
      <c r="C342" s="59">
        <v>1149</v>
      </c>
      <c r="D342" s="58">
        <v>1308</v>
      </c>
      <c r="E342" s="57">
        <v>1399</v>
      </c>
      <c r="F342" s="56">
        <v>1434</v>
      </c>
      <c r="G342" s="57">
        <v>1535</v>
      </c>
      <c r="H342" s="56">
        <v>1640</v>
      </c>
      <c r="I342" s="55">
        <v>2038</v>
      </c>
      <c r="J342" s="54" t="s">
        <v>639</v>
      </c>
      <c r="K342" s="54">
        <v>1288</v>
      </c>
    </row>
    <row r="343" spans="1:11" s="38" customFormat="1" ht="29.25" customHeight="1" thickBot="1">
      <c r="A343" s="46">
        <v>7702</v>
      </c>
      <c r="B343" s="45" t="s">
        <v>209</v>
      </c>
      <c r="C343" s="44">
        <v>1079</v>
      </c>
      <c r="D343" s="43">
        <v>1228</v>
      </c>
      <c r="E343" s="42">
        <v>1314</v>
      </c>
      <c r="F343" s="41">
        <v>1347</v>
      </c>
      <c r="G343" s="42">
        <v>1442</v>
      </c>
      <c r="H343" s="41">
        <v>1540</v>
      </c>
      <c r="I343" s="40">
        <v>1914</v>
      </c>
      <c r="J343" s="39">
        <v>1099</v>
      </c>
      <c r="K343" s="39">
        <v>1213</v>
      </c>
    </row>
    <row r="344" spans="1:11" s="38" customFormat="1" ht="29.25" customHeight="1">
      <c r="A344" s="45">
        <v>7801</v>
      </c>
      <c r="B344" s="45" t="s">
        <v>208</v>
      </c>
      <c r="C344" s="59">
        <v>1206</v>
      </c>
      <c r="D344" s="58">
        <v>1372</v>
      </c>
      <c r="E344" s="57">
        <v>1469</v>
      </c>
      <c r="F344" s="56">
        <v>1505</v>
      </c>
      <c r="G344" s="57">
        <v>1611</v>
      </c>
      <c r="H344" s="56">
        <v>1721</v>
      </c>
      <c r="I344" s="55">
        <v>2139</v>
      </c>
      <c r="J344" s="54" t="s">
        <v>639</v>
      </c>
      <c r="K344" s="54">
        <v>1393</v>
      </c>
    </row>
    <row r="345" spans="1:11" s="38" customFormat="1" ht="29.25" customHeight="1">
      <c r="A345" s="53">
        <v>7802</v>
      </c>
      <c r="B345" s="45" t="s">
        <v>207</v>
      </c>
      <c r="C345" s="52">
        <v>1200</v>
      </c>
      <c r="D345" s="51">
        <v>1366</v>
      </c>
      <c r="E345" s="50">
        <v>1462</v>
      </c>
      <c r="F345" s="49">
        <v>1498</v>
      </c>
      <c r="G345" s="50">
        <v>1603</v>
      </c>
      <c r="H345" s="49">
        <v>1712</v>
      </c>
      <c r="I345" s="48">
        <v>2129</v>
      </c>
      <c r="J345" s="47" t="s">
        <v>639</v>
      </c>
      <c r="K345" s="47">
        <v>1386</v>
      </c>
    </row>
    <row r="346" spans="1:11" s="38" customFormat="1" ht="29.25" customHeight="1">
      <c r="A346" s="53">
        <v>7803</v>
      </c>
      <c r="B346" s="45" t="s">
        <v>206</v>
      </c>
      <c r="C346" s="52">
        <v>1042</v>
      </c>
      <c r="D346" s="51">
        <v>1186</v>
      </c>
      <c r="E346" s="50">
        <v>1269</v>
      </c>
      <c r="F346" s="49">
        <v>1300</v>
      </c>
      <c r="G346" s="50">
        <v>1392</v>
      </c>
      <c r="H346" s="49">
        <v>1487</v>
      </c>
      <c r="I346" s="48">
        <v>1849</v>
      </c>
      <c r="J346" s="47" t="s">
        <v>639</v>
      </c>
      <c r="K346" s="47">
        <v>1141</v>
      </c>
    </row>
    <row r="347" spans="1:11" s="38" customFormat="1" ht="29.25" customHeight="1">
      <c r="A347" s="53">
        <v>7804</v>
      </c>
      <c r="B347" s="45" t="s">
        <v>205</v>
      </c>
      <c r="C347" s="52">
        <v>1095</v>
      </c>
      <c r="D347" s="51">
        <v>1246</v>
      </c>
      <c r="E347" s="50">
        <v>1334</v>
      </c>
      <c r="F347" s="49">
        <v>1367</v>
      </c>
      <c r="G347" s="50">
        <v>1463</v>
      </c>
      <c r="H347" s="49">
        <v>1563</v>
      </c>
      <c r="I347" s="48">
        <v>1943</v>
      </c>
      <c r="J347" s="47" t="s">
        <v>639</v>
      </c>
      <c r="K347" s="47">
        <v>1214</v>
      </c>
    </row>
    <row r="348" spans="1:11" s="38" customFormat="1" ht="29.25" customHeight="1">
      <c r="A348" s="53">
        <v>7805</v>
      </c>
      <c r="B348" s="45" t="s">
        <v>204</v>
      </c>
      <c r="C348" s="52">
        <v>1089</v>
      </c>
      <c r="D348" s="51">
        <v>1239</v>
      </c>
      <c r="E348" s="50">
        <v>1326</v>
      </c>
      <c r="F348" s="49">
        <v>1359</v>
      </c>
      <c r="G348" s="50">
        <v>1455</v>
      </c>
      <c r="H348" s="49">
        <v>1554</v>
      </c>
      <c r="I348" s="48">
        <v>1932</v>
      </c>
      <c r="J348" s="47" t="s">
        <v>639</v>
      </c>
      <c r="K348" s="47">
        <v>1217</v>
      </c>
    </row>
    <row r="349" spans="1:11" s="38" customFormat="1" ht="29.25" customHeight="1">
      <c r="A349" s="53">
        <v>7806</v>
      </c>
      <c r="B349" s="45" t="s">
        <v>203</v>
      </c>
      <c r="C349" s="52">
        <v>1089</v>
      </c>
      <c r="D349" s="51">
        <v>1239</v>
      </c>
      <c r="E349" s="50">
        <v>1326</v>
      </c>
      <c r="F349" s="49">
        <v>1359</v>
      </c>
      <c r="G349" s="50">
        <v>1455</v>
      </c>
      <c r="H349" s="49">
        <v>1554</v>
      </c>
      <c r="I349" s="48">
        <v>1932</v>
      </c>
      <c r="J349" s="47" t="s">
        <v>639</v>
      </c>
      <c r="K349" s="47">
        <v>1208</v>
      </c>
    </row>
    <row r="350" spans="1:11" s="38" customFormat="1" ht="29.25" customHeight="1">
      <c r="A350" s="66">
        <v>7899</v>
      </c>
      <c r="B350" s="45" t="s">
        <v>202</v>
      </c>
      <c r="C350" s="65">
        <v>1141</v>
      </c>
      <c r="D350" s="64">
        <v>1298</v>
      </c>
      <c r="E350" s="63">
        <v>1390</v>
      </c>
      <c r="F350" s="62">
        <v>1424</v>
      </c>
      <c r="G350" s="63">
        <v>1524</v>
      </c>
      <c r="H350" s="62">
        <v>1628</v>
      </c>
      <c r="I350" s="61">
        <v>2024</v>
      </c>
      <c r="J350" s="60" t="s">
        <v>639</v>
      </c>
      <c r="K350" s="60">
        <v>1301</v>
      </c>
    </row>
    <row r="351" spans="1:11" s="38" customFormat="1" ht="29.25" customHeight="1">
      <c r="A351" s="45">
        <v>7901</v>
      </c>
      <c r="B351" s="45" t="s">
        <v>201</v>
      </c>
      <c r="C351" s="59">
        <v>1202</v>
      </c>
      <c r="D351" s="58">
        <v>1368</v>
      </c>
      <c r="E351" s="57">
        <v>1464</v>
      </c>
      <c r="F351" s="56">
        <v>1500</v>
      </c>
      <c r="G351" s="57">
        <v>1606</v>
      </c>
      <c r="H351" s="56">
        <v>1715</v>
      </c>
      <c r="I351" s="55">
        <v>2132</v>
      </c>
      <c r="J351" s="54" t="s">
        <v>639</v>
      </c>
      <c r="K351" s="54">
        <v>1430</v>
      </c>
    </row>
    <row r="352" spans="1:11" s="38" customFormat="1" ht="29.25" customHeight="1">
      <c r="A352" s="53">
        <v>7902</v>
      </c>
      <c r="B352" s="45" t="s">
        <v>200</v>
      </c>
      <c r="C352" s="52">
        <v>1136</v>
      </c>
      <c r="D352" s="51">
        <v>1293</v>
      </c>
      <c r="E352" s="50">
        <v>1384</v>
      </c>
      <c r="F352" s="49">
        <v>1418</v>
      </c>
      <c r="G352" s="50">
        <v>1518</v>
      </c>
      <c r="H352" s="49">
        <v>1621</v>
      </c>
      <c r="I352" s="48">
        <v>2015</v>
      </c>
      <c r="J352" s="47" t="s">
        <v>639</v>
      </c>
      <c r="K352" s="47">
        <v>1318</v>
      </c>
    </row>
    <row r="353" spans="1:11" s="38" customFormat="1" ht="29.25" customHeight="1">
      <c r="A353" s="53">
        <v>7903</v>
      </c>
      <c r="B353" s="45" t="s">
        <v>199</v>
      </c>
      <c r="C353" s="52">
        <v>1171</v>
      </c>
      <c r="D353" s="51">
        <v>1333</v>
      </c>
      <c r="E353" s="50">
        <v>1426</v>
      </c>
      <c r="F353" s="49">
        <v>1461</v>
      </c>
      <c r="G353" s="50">
        <v>1564</v>
      </c>
      <c r="H353" s="49">
        <v>1671</v>
      </c>
      <c r="I353" s="48">
        <v>2077</v>
      </c>
      <c r="J353" s="47">
        <v>1181</v>
      </c>
      <c r="K353" s="47">
        <v>1343</v>
      </c>
    </row>
    <row r="354" spans="1:11" s="38" customFormat="1" ht="29.25" customHeight="1">
      <c r="A354" s="53">
        <v>7904</v>
      </c>
      <c r="B354" s="45" t="s">
        <v>198</v>
      </c>
      <c r="C354" s="52">
        <v>1208</v>
      </c>
      <c r="D354" s="51">
        <v>1375</v>
      </c>
      <c r="E354" s="50">
        <v>1471</v>
      </c>
      <c r="F354" s="49">
        <v>1508</v>
      </c>
      <c r="G354" s="50">
        <v>1614</v>
      </c>
      <c r="H354" s="49">
        <v>1724</v>
      </c>
      <c r="I354" s="48">
        <v>2143</v>
      </c>
      <c r="J354" s="47" t="s">
        <v>639</v>
      </c>
      <c r="K354" s="47">
        <v>1454</v>
      </c>
    </row>
    <row r="355" spans="1:11" s="38" customFormat="1" ht="29.25" customHeight="1">
      <c r="A355" s="66">
        <v>7905</v>
      </c>
      <c r="B355" s="45" t="s">
        <v>197</v>
      </c>
      <c r="C355" s="65">
        <v>1150</v>
      </c>
      <c r="D355" s="64">
        <v>1309</v>
      </c>
      <c r="E355" s="63">
        <v>1401</v>
      </c>
      <c r="F355" s="62">
        <v>1435</v>
      </c>
      <c r="G355" s="63">
        <v>1536</v>
      </c>
      <c r="H355" s="62">
        <v>1641</v>
      </c>
      <c r="I355" s="61">
        <v>2040</v>
      </c>
      <c r="J355" s="60" t="s">
        <v>639</v>
      </c>
      <c r="K355" s="60">
        <v>1325</v>
      </c>
    </row>
    <row r="356" spans="1:11" s="38" customFormat="1" ht="29.25" customHeight="1">
      <c r="A356" s="45">
        <v>8001</v>
      </c>
      <c r="B356" s="45" t="s">
        <v>196</v>
      </c>
      <c r="C356" s="59">
        <v>1259</v>
      </c>
      <c r="D356" s="58">
        <v>1433</v>
      </c>
      <c r="E356" s="57">
        <v>1533</v>
      </c>
      <c r="F356" s="56">
        <v>1571</v>
      </c>
      <c r="G356" s="57">
        <v>1682</v>
      </c>
      <c r="H356" s="56">
        <v>1797</v>
      </c>
      <c r="I356" s="55">
        <v>2233</v>
      </c>
      <c r="J356" s="54" t="s">
        <v>639</v>
      </c>
      <c r="K356" s="54">
        <v>1644</v>
      </c>
    </row>
    <row r="357" spans="1:11" s="38" customFormat="1" ht="29.25" customHeight="1">
      <c r="A357" s="53">
        <v>8002</v>
      </c>
      <c r="B357" s="45" t="s">
        <v>195</v>
      </c>
      <c r="C357" s="52">
        <v>1222</v>
      </c>
      <c r="D357" s="51">
        <v>1391</v>
      </c>
      <c r="E357" s="50">
        <v>1488</v>
      </c>
      <c r="F357" s="49">
        <v>1525</v>
      </c>
      <c r="G357" s="50">
        <v>1633</v>
      </c>
      <c r="H357" s="49">
        <v>1744</v>
      </c>
      <c r="I357" s="48">
        <v>2168</v>
      </c>
      <c r="J357" s="47" t="s">
        <v>639</v>
      </c>
      <c r="K357" s="47">
        <v>1467</v>
      </c>
    </row>
    <row r="358" spans="1:11" s="38" customFormat="1" ht="29.25" customHeight="1">
      <c r="A358" s="53">
        <v>8003</v>
      </c>
      <c r="B358" s="45" t="s">
        <v>194</v>
      </c>
      <c r="C358" s="52">
        <v>1203</v>
      </c>
      <c r="D358" s="51">
        <v>1369</v>
      </c>
      <c r="E358" s="50">
        <v>1465</v>
      </c>
      <c r="F358" s="49">
        <v>1501</v>
      </c>
      <c r="G358" s="50">
        <v>1607</v>
      </c>
      <c r="H358" s="49">
        <v>1717</v>
      </c>
      <c r="I358" s="48">
        <v>2134</v>
      </c>
      <c r="J358" s="47" t="s">
        <v>639</v>
      </c>
      <c r="K358" s="47">
        <v>1457</v>
      </c>
    </row>
    <row r="359" spans="1:11" s="38" customFormat="1" ht="29.25" customHeight="1">
      <c r="A359" s="53">
        <v>8004</v>
      </c>
      <c r="B359" s="45" t="s">
        <v>193</v>
      </c>
      <c r="C359" s="52">
        <v>1297</v>
      </c>
      <c r="D359" s="51">
        <v>1476</v>
      </c>
      <c r="E359" s="50">
        <v>1580</v>
      </c>
      <c r="F359" s="49">
        <v>1619</v>
      </c>
      <c r="G359" s="50">
        <v>1733</v>
      </c>
      <c r="H359" s="49">
        <v>1851</v>
      </c>
      <c r="I359" s="48">
        <v>2301</v>
      </c>
      <c r="J359" s="47" t="s">
        <v>639</v>
      </c>
      <c r="K359" s="47">
        <v>1663</v>
      </c>
    </row>
    <row r="360" spans="1:11" s="38" customFormat="1" ht="29.25" customHeight="1">
      <c r="A360" s="53">
        <v>8005</v>
      </c>
      <c r="B360" s="45" t="s">
        <v>192</v>
      </c>
      <c r="C360" s="52">
        <v>1235</v>
      </c>
      <c r="D360" s="51">
        <v>1405</v>
      </c>
      <c r="E360" s="50">
        <v>1504</v>
      </c>
      <c r="F360" s="49">
        <v>1541</v>
      </c>
      <c r="G360" s="50">
        <v>1650</v>
      </c>
      <c r="H360" s="49">
        <v>1762</v>
      </c>
      <c r="I360" s="48">
        <v>2191</v>
      </c>
      <c r="J360" s="47" t="s">
        <v>639</v>
      </c>
      <c r="K360" s="47">
        <v>1545</v>
      </c>
    </row>
    <row r="361" spans="1:11" s="38" customFormat="1" ht="29.25" customHeight="1">
      <c r="A361" s="53">
        <v>8006</v>
      </c>
      <c r="B361" s="45" t="s">
        <v>191</v>
      </c>
      <c r="C361" s="52">
        <v>1172</v>
      </c>
      <c r="D361" s="51">
        <v>1334</v>
      </c>
      <c r="E361" s="50">
        <v>1427</v>
      </c>
      <c r="F361" s="49">
        <v>1463</v>
      </c>
      <c r="G361" s="50">
        <v>1566</v>
      </c>
      <c r="H361" s="49">
        <v>1672</v>
      </c>
      <c r="I361" s="48">
        <v>2079</v>
      </c>
      <c r="J361" s="47" t="s">
        <v>639</v>
      </c>
      <c r="K361" s="47">
        <v>1342</v>
      </c>
    </row>
    <row r="362" spans="1:11" s="38" customFormat="1" ht="29.25" customHeight="1">
      <c r="A362" s="66">
        <v>8099</v>
      </c>
      <c r="B362" s="45" t="s">
        <v>190</v>
      </c>
      <c r="C362" s="65">
        <v>1195</v>
      </c>
      <c r="D362" s="64">
        <v>1360</v>
      </c>
      <c r="E362" s="63">
        <v>1456</v>
      </c>
      <c r="F362" s="62">
        <v>1491</v>
      </c>
      <c r="G362" s="63">
        <v>1597</v>
      </c>
      <c r="H362" s="62">
        <v>1705</v>
      </c>
      <c r="I362" s="61">
        <v>2120</v>
      </c>
      <c r="J362" s="60" t="s">
        <v>639</v>
      </c>
      <c r="K362" s="60">
        <v>1443</v>
      </c>
    </row>
    <row r="363" spans="1:11" s="38" customFormat="1" ht="29.25" customHeight="1">
      <c r="A363" s="80">
        <v>8101</v>
      </c>
      <c r="B363" s="45" t="s">
        <v>189</v>
      </c>
      <c r="C363" s="79">
        <v>1159</v>
      </c>
      <c r="D363" s="78">
        <v>1319</v>
      </c>
      <c r="E363" s="77">
        <v>1412</v>
      </c>
      <c r="F363" s="76">
        <v>1446</v>
      </c>
      <c r="G363" s="77">
        <v>1548</v>
      </c>
      <c r="H363" s="76">
        <v>1654</v>
      </c>
      <c r="I363" s="75">
        <v>2056</v>
      </c>
      <c r="J363" s="74" t="s">
        <v>639</v>
      </c>
      <c r="K363" s="74">
        <v>1341</v>
      </c>
    </row>
    <row r="364" spans="1:11" s="38" customFormat="1" ht="29.25" customHeight="1">
      <c r="A364" s="45">
        <v>8201</v>
      </c>
      <c r="B364" s="45" t="s">
        <v>188</v>
      </c>
      <c r="C364" s="59">
        <v>1243</v>
      </c>
      <c r="D364" s="58">
        <v>1415</v>
      </c>
      <c r="E364" s="57">
        <v>1514</v>
      </c>
      <c r="F364" s="56">
        <v>1551</v>
      </c>
      <c r="G364" s="57">
        <v>1661</v>
      </c>
      <c r="H364" s="56">
        <v>1774</v>
      </c>
      <c r="I364" s="55">
        <v>2205</v>
      </c>
      <c r="J364" s="54" t="s">
        <v>639</v>
      </c>
      <c r="K364" s="54">
        <v>1393</v>
      </c>
    </row>
    <row r="365" spans="1:11" s="38" customFormat="1" ht="29.25" customHeight="1">
      <c r="A365" s="53">
        <v>8202</v>
      </c>
      <c r="B365" s="45" t="s">
        <v>187</v>
      </c>
      <c r="C365" s="52">
        <v>1268</v>
      </c>
      <c r="D365" s="51">
        <v>1443</v>
      </c>
      <c r="E365" s="50">
        <v>1544</v>
      </c>
      <c r="F365" s="49">
        <v>1582</v>
      </c>
      <c r="G365" s="50">
        <v>1694</v>
      </c>
      <c r="H365" s="49">
        <v>1809</v>
      </c>
      <c r="I365" s="48">
        <v>2249</v>
      </c>
      <c r="J365" s="47" t="s">
        <v>639</v>
      </c>
      <c r="K365" s="47">
        <v>1396</v>
      </c>
    </row>
    <row r="366" spans="1:11" s="38" customFormat="1" ht="29.25" customHeight="1">
      <c r="A366" s="53">
        <v>8203</v>
      </c>
      <c r="B366" s="45" t="s">
        <v>186</v>
      </c>
      <c r="C366" s="52">
        <v>1168</v>
      </c>
      <c r="D366" s="51">
        <v>1329</v>
      </c>
      <c r="E366" s="50">
        <v>1423</v>
      </c>
      <c r="F366" s="49">
        <v>1458</v>
      </c>
      <c r="G366" s="50">
        <v>1560</v>
      </c>
      <c r="H366" s="49">
        <v>1667</v>
      </c>
      <c r="I366" s="48">
        <v>2072</v>
      </c>
      <c r="J366" s="47">
        <v>1239</v>
      </c>
      <c r="K366" s="47">
        <v>1226</v>
      </c>
    </row>
    <row r="367" spans="1:11" s="38" customFormat="1" ht="29.25" customHeight="1">
      <c r="A367" s="53">
        <v>8204</v>
      </c>
      <c r="B367" s="45" t="s">
        <v>185</v>
      </c>
      <c r="C367" s="52">
        <v>1262</v>
      </c>
      <c r="D367" s="51">
        <v>1436</v>
      </c>
      <c r="E367" s="50">
        <v>1537</v>
      </c>
      <c r="F367" s="49">
        <v>1575</v>
      </c>
      <c r="G367" s="50">
        <v>1686</v>
      </c>
      <c r="H367" s="49">
        <v>1801</v>
      </c>
      <c r="I367" s="48">
        <v>2239</v>
      </c>
      <c r="J367" s="47" t="s">
        <v>639</v>
      </c>
      <c r="K367" s="47">
        <v>1407</v>
      </c>
    </row>
    <row r="368" spans="1:11" s="38" customFormat="1" ht="29.25" customHeight="1">
      <c r="A368" s="45">
        <v>8301</v>
      </c>
      <c r="B368" s="45" t="s">
        <v>184</v>
      </c>
      <c r="C368" s="59">
        <v>1492</v>
      </c>
      <c r="D368" s="58">
        <v>1698</v>
      </c>
      <c r="E368" s="57">
        <v>1817</v>
      </c>
      <c r="F368" s="56">
        <v>1862</v>
      </c>
      <c r="G368" s="57">
        <v>1993</v>
      </c>
      <c r="H368" s="56">
        <v>2129</v>
      </c>
      <c r="I368" s="55">
        <v>2647</v>
      </c>
      <c r="J368" s="54" t="s">
        <v>639</v>
      </c>
      <c r="K368" s="54">
        <v>1696</v>
      </c>
    </row>
    <row r="369" spans="1:11" s="38" customFormat="1" ht="29.25" customHeight="1">
      <c r="A369" s="53">
        <v>8302</v>
      </c>
      <c r="B369" s="45" t="s">
        <v>183</v>
      </c>
      <c r="C369" s="52">
        <v>1349</v>
      </c>
      <c r="D369" s="51">
        <v>1535</v>
      </c>
      <c r="E369" s="50">
        <v>1643</v>
      </c>
      <c r="F369" s="49">
        <v>1684</v>
      </c>
      <c r="G369" s="50">
        <v>1802</v>
      </c>
      <c r="H369" s="49">
        <v>1925</v>
      </c>
      <c r="I369" s="48">
        <v>2393</v>
      </c>
      <c r="J369" s="47" t="s">
        <v>639</v>
      </c>
      <c r="K369" s="47">
        <v>1506</v>
      </c>
    </row>
    <row r="370" spans="1:11" s="38" customFormat="1" ht="29.25" customHeight="1">
      <c r="A370" s="53">
        <v>8303</v>
      </c>
      <c r="B370" s="45" t="s">
        <v>182</v>
      </c>
      <c r="C370" s="52">
        <v>1578</v>
      </c>
      <c r="D370" s="51">
        <v>1796</v>
      </c>
      <c r="E370" s="50">
        <v>1922</v>
      </c>
      <c r="F370" s="49">
        <v>1969</v>
      </c>
      <c r="G370" s="50">
        <v>2108</v>
      </c>
      <c r="H370" s="49">
        <v>2252</v>
      </c>
      <c r="I370" s="48">
        <v>2799</v>
      </c>
      <c r="J370" s="47" t="s">
        <v>639</v>
      </c>
      <c r="K370" s="47">
        <v>1813</v>
      </c>
    </row>
    <row r="371" spans="1:11" s="38" customFormat="1" ht="29.25" customHeight="1">
      <c r="A371" s="53">
        <v>8304</v>
      </c>
      <c r="B371" s="45" t="s">
        <v>181</v>
      </c>
      <c r="C371" s="52">
        <v>1363</v>
      </c>
      <c r="D371" s="51">
        <v>1551</v>
      </c>
      <c r="E371" s="50">
        <v>1660</v>
      </c>
      <c r="F371" s="49">
        <v>1701</v>
      </c>
      <c r="G371" s="50">
        <v>1821</v>
      </c>
      <c r="H371" s="49">
        <v>1945</v>
      </c>
      <c r="I371" s="48">
        <v>2418</v>
      </c>
      <c r="J371" s="47" t="s">
        <v>639</v>
      </c>
      <c r="K371" s="47">
        <v>1532</v>
      </c>
    </row>
    <row r="372" spans="1:11" s="38" customFormat="1" ht="29.25" customHeight="1">
      <c r="A372" s="66">
        <v>8399</v>
      </c>
      <c r="B372" s="45" t="s">
        <v>180</v>
      </c>
      <c r="C372" s="65">
        <v>1322</v>
      </c>
      <c r="D372" s="64">
        <v>1504</v>
      </c>
      <c r="E372" s="63">
        <v>1610</v>
      </c>
      <c r="F372" s="62">
        <v>1650</v>
      </c>
      <c r="G372" s="63">
        <v>1766</v>
      </c>
      <c r="H372" s="62">
        <v>1886</v>
      </c>
      <c r="I372" s="61">
        <v>2345</v>
      </c>
      <c r="J372" s="60" t="s">
        <v>639</v>
      </c>
      <c r="K372" s="60">
        <v>1467</v>
      </c>
    </row>
    <row r="373" spans="1:11" s="38" customFormat="1" ht="29.25" customHeight="1">
      <c r="A373" s="45">
        <v>8401</v>
      </c>
      <c r="B373" s="45" t="s">
        <v>179</v>
      </c>
      <c r="C373" s="59">
        <v>1248</v>
      </c>
      <c r="D373" s="58">
        <v>1420</v>
      </c>
      <c r="E373" s="57">
        <v>1520</v>
      </c>
      <c r="F373" s="56">
        <v>1558</v>
      </c>
      <c r="G373" s="57">
        <v>1667</v>
      </c>
      <c r="H373" s="56">
        <v>1781</v>
      </c>
      <c r="I373" s="55">
        <v>2214</v>
      </c>
      <c r="J373" s="54" t="s">
        <v>639</v>
      </c>
      <c r="K373" s="54">
        <v>1387</v>
      </c>
    </row>
    <row r="374" spans="1:11" s="38" customFormat="1" ht="29.25" customHeight="1">
      <c r="A374" s="66">
        <v>8402</v>
      </c>
      <c r="B374" s="45" t="s">
        <v>178</v>
      </c>
      <c r="C374" s="65">
        <v>1227</v>
      </c>
      <c r="D374" s="64">
        <v>1396</v>
      </c>
      <c r="E374" s="63">
        <v>1494</v>
      </c>
      <c r="F374" s="62">
        <v>1531</v>
      </c>
      <c r="G374" s="63">
        <v>1639</v>
      </c>
      <c r="H374" s="62">
        <v>1751</v>
      </c>
      <c r="I374" s="61">
        <v>2177</v>
      </c>
      <c r="J374" s="60" t="s">
        <v>639</v>
      </c>
      <c r="K374" s="60">
        <v>1311</v>
      </c>
    </row>
    <row r="375" spans="1:11" s="38" customFormat="1" ht="29.25" customHeight="1">
      <c r="A375" s="45">
        <v>8501</v>
      </c>
      <c r="B375" s="45" t="s">
        <v>177</v>
      </c>
      <c r="C375" s="59">
        <v>1449</v>
      </c>
      <c r="D375" s="58">
        <v>1649</v>
      </c>
      <c r="E375" s="57">
        <v>1765</v>
      </c>
      <c r="F375" s="56">
        <v>1808</v>
      </c>
      <c r="G375" s="57">
        <v>1936</v>
      </c>
      <c r="H375" s="56">
        <v>2068</v>
      </c>
      <c r="I375" s="55">
        <v>2571</v>
      </c>
      <c r="J375" s="54" t="s">
        <v>639</v>
      </c>
      <c r="K375" s="54">
        <v>1566</v>
      </c>
    </row>
    <row r="376" spans="1:11" s="38" customFormat="1" ht="29.25" customHeight="1">
      <c r="A376" s="53">
        <v>8502</v>
      </c>
      <c r="B376" s="45" t="s">
        <v>176</v>
      </c>
      <c r="C376" s="52">
        <v>1109</v>
      </c>
      <c r="D376" s="51">
        <v>1262</v>
      </c>
      <c r="E376" s="50">
        <v>1351</v>
      </c>
      <c r="F376" s="49">
        <v>1384</v>
      </c>
      <c r="G376" s="50">
        <v>1482</v>
      </c>
      <c r="H376" s="49">
        <v>1583</v>
      </c>
      <c r="I376" s="48">
        <v>1967</v>
      </c>
      <c r="J376" s="47" t="s">
        <v>639</v>
      </c>
      <c r="K376" s="47">
        <v>1188</v>
      </c>
    </row>
    <row r="377" spans="1:11" s="38" customFormat="1" ht="29.25" customHeight="1">
      <c r="A377" s="53">
        <v>8503</v>
      </c>
      <c r="B377" s="45" t="s">
        <v>175</v>
      </c>
      <c r="C377" s="52">
        <v>1099</v>
      </c>
      <c r="D377" s="51">
        <v>1251</v>
      </c>
      <c r="E377" s="50">
        <v>1339</v>
      </c>
      <c r="F377" s="49">
        <v>1372</v>
      </c>
      <c r="G377" s="50">
        <v>1468</v>
      </c>
      <c r="H377" s="49">
        <v>1568</v>
      </c>
      <c r="I377" s="48">
        <v>1950</v>
      </c>
      <c r="J377" s="47" t="s">
        <v>639</v>
      </c>
      <c r="K377" s="47">
        <v>1179</v>
      </c>
    </row>
    <row r="378" spans="1:11" s="38" customFormat="1" ht="29.25" customHeight="1">
      <c r="A378" s="53">
        <v>8504</v>
      </c>
      <c r="B378" s="45" t="s">
        <v>174</v>
      </c>
      <c r="C378" s="52">
        <v>1159</v>
      </c>
      <c r="D378" s="51">
        <v>1319</v>
      </c>
      <c r="E378" s="50">
        <v>1412</v>
      </c>
      <c r="F378" s="49">
        <v>1446</v>
      </c>
      <c r="G378" s="50">
        <v>1548</v>
      </c>
      <c r="H378" s="49">
        <v>1654</v>
      </c>
      <c r="I378" s="48">
        <v>2056</v>
      </c>
      <c r="J378" s="47" t="s">
        <v>639</v>
      </c>
      <c r="K378" s="47">
        <v>1302</v>
      </c>
    </row>
    <row r="379" spans="1:11" s="38" customFormat="1" ht="29.25" customHeight="1" thickBot="1">
      <c r="A379" s="66">
        <v>8599</v>
      </c>
      <c r="B379" s="45" t="s">
        <v>173</v>
      </c>
      <c r="C379" s="65">
        <v>1162</v>
      </c>
      <c r="D379" s="64">
        <v>1322</v>
      </c>
      <c r="E379" s="63">
        <v>1415</v>
      </c>
      <c r="F379" s="62">
        <v>1450</v>
      </c>
      <c r="G379" s="63">
        <v>1552</v>
      </c>
      <c r="H379" s="62">
        <v>1658</v>
      </c>
      <c r="I379" s="61">
        <v>2061</v>
      </c>
      <c r="J379" s="60" t="s">
        <v>639</v>
      </c>
      <c r="K379" s="60">
        <v>1277</v>
      </c>
    </row>
    <row r="380" spans="1:11" s="38" customFormat="1" ht="29.25" customHeight="1" thickBot="1">
      <c r="A380" s="73">
        <v>8699</v>
      </c>
      <c r="B380" s="45" t="s">
        <v>172</v>
      </c>
      <c r="C380" s="72">
        <v>1309</v>
      </c>
      <c r="D380" s="71">
        <v>1490</v>
      </c>
      <c r="E380" s="70">
        <v>1594</v>
      </c>
      <c r="F380" s="69">
        <v>1634</v>
      </c>
      <c r="G380" s="70">
        <v>1749</v>
      </c>
      <c r="H380" s="69">
        <v>1868</v>
      </c>
      <c r="I380" s="68">
        <v>2322</v>
      </c>
      <c r="J380" s="67" t="s">
        <v>639</v>
      </c>
      <c r="K380" s="67">
        <v>1493</v>
      </c>
    </row>
    <row r="381" spans="1:11" s="38" customFormat="1" ht="29.25" customHeight="1">
      <c r="A381" s="45">
        <v>8701</v>
      </c>
      <c r="B381" s="45" t="s">
        <v>171</v>
      </c>
      <c r="C381" s="59">
        <v>1037</v>
      </c>
      <c r="D381" s="58">
        <v>1180</v>
      </c>
      <c r="E381" s="57">
        <v>1263</v>
      </c>
      <c r="F381" s="56">
        <v>1294</v>
      </c>
      <c r="G381" s="57">
        <v>1385</v>
      </c>
      <c r="H381" s="56">
        <v>1480</v>
      </c>
      <c r="I381" s="55">
        <v>1840</v>
      </c>
      <c r="J381" s="54" t="s">
        <v>639</v>
      </c>
      <c r="K381" s="54">
        <v>1176</v>
      </c>
    </row>
    <row r="382" spans="1:11" s="38" customFormat="1" ht="29.25" customHeight="1">
      <c r="A382" s="53">
        <v>8702</v>
      </c>
      <c r="B382" s="45" t="s">
        <v>170</v>
      </c>
      <c r="C382" s="52">
        <v>1400</v>
      </c>
      <c r="D382" s="51">
        <v>1593</v>
      </c>
      <c r="E382" s="50">
        <v>1705</v>
      </c>
      <c r="F382" s="49">
        <v>1747</v>
      </c>
      <c r="G382" s="50">
        <v>1870</v>
      </c>
      <c r="H382" s="49">
        <v>1998</v>
      </c>
      <c r="I382" s="48">
        <v>2484</v>
      </c>
      <c r="J382" s="47">
        <v>1406</v>
      </c>
      <c r="K382" s="47">
        <v>1654</v>
      </c>
    </row>
    <row r="383" spans="1:11" s="38" customFormat="1" ht="29.25" customHeight="1">
      <c r="A383" s="53">
        <v>8703</v>
      </c>
      <c r="B383" s="45" t="s">
        <v>169</v>
      </c>
      <c r="C383" s="52" t="s">
        <v>111</v>
      </c>
      <c r="D383" s="51" t="s">
        <v>111</v>
      </c>
      <c r="E383" s="50" t="s">
        <v>111</v>
      </c>
      <c r="F383" s="49" t="s">
        <v>111</v>
      </c>
      <c r="G383" s="50" t="s">
        <v>111</v>
      </c>
      <c r="H383" s="49" t="s">
        <v>111</v>
      </c>
      <c r="I383" s="48" t="s">
        <v>111</v>
      </c>
      <c r="J383" s="47" t="s">
        <v>639</v>
      </c>
      <c r="K383" s="47" t="s">
        <v>111</v>
      </c>
    </row>
    <row r="384" spans="1:11" s="38" customFormat="1" ht="29.25" customHeight="1">
      <c r="A384" s="53">
        <v>8704</v>
      </c>
      <c r="B384" s="45" t="s">
        <v>168</v>
      </c>
      <c r="C384" s="52" t="s">
        <v>111</v>
      </c>
      <c r="D384" s="51" t="s">
        <v>111</v>
      </c>
      <c r="E384" s="50" t="s">
        <v>111</v>
      </c>
      <c r="F384" s="49" t="s">
        <v>111</v>
      </c>
      <c r="G384" s="50" t="s">
        <v>111</v>
      </c>
      <c r="H384" s="49" t="s">
        <v>111</v>
      </c>
      <c r="I384" s="48" t="s">
        <v>111</v>
      </c>
      <c r="J384" s="47" t="s">
        <v>639</v>
      </c>
      <c r="K384" s="47" t="s">
        <v>111</v>
      </c>
    </row>
    <row r="385" spans="1:11" s="38" customFormat="1" ht="29.25" customHeight="1">
      <c r="A385" s="45">
        <v>8801</v>
      </c>
      <c r="B385" s="45" t="s">
        <v>167</v>
      </c>
      <c r="C385" s="59">
        <v>1039</v>
      </c>
      <c r="D385" s="58">
        <v>1182</v>
      </c>
      <c r="E385" s="57">
        <v>1266</v>
      </c>
      <c r="F385" s="56">
        <v>1297</v>
      </c>
      <c r="G385" s="57">
        <v>1388</v>
      </c>
      <c r="H385" s="56">
        <v>1483</v>
      </c>
      <c r="I385" s="55">
        <v>1843</v>
      </c>
      <c r="J385" s="54" t="s">
        <v>639</v>
      </c>
      <c r="K385" s="54">
        <v>1091</v>
      </c>
    </row>
    <row r="386" spans="1:11" s="38" customFormat="1" ht="29.25" customHeight="1">
      <c r="A386" s="53">
        <v>8802</v>
      </c>
      <c r="B386" s="45" t="s">
        <v>166</v>
      </c>
      <c r="C386" s="52">
        <v>1044</v>
      </c>
      <c r="D386" s="51">
        <v>1188</v>
      </c>
      <c r="E386" s="50">
        <v>1272</v>
      </c>
      <c r="F386" s="49">
        <v>1303</v>
      </c>
      <c r="G386" s="50">
        <v>1395</v>
      </c>
      <c r="H386" s="49">
        <v>1490</v>
      </c>
      <c r="I386" s="48">
        <v>1852</v>
      </c>
      <c r="J386" s="47" t="s">
        <v>639</v>
      </c>
      <c r="K386" s="47">
        <v>1113</v>
      </c>
    </row>
    <row r="387" spans="1:11" s="38" customFormat="1" ht="29.25" customHeight="1">
      <c r="A387" s="53">
        <v>8803</v>
      </c>
      <c r="B387" s="45" t="s">
        <v>165</v>
      </c>
      <c r="C387" s="52">
        <v>1363</v>
      </c>
      <c r="D387" s="51">
        <v>1551</v>
      </c>
      <c r="E387" s="50">
        <v>1660</v>
      </c>
      <c r="F387" s="49">
        <v>1701</v>
      </c>
      <c r="G387" s="50">
        <v>1821</v>
      </c>
      <c r="H387" s="49">
        <v>1945</v>
      </c>
      <c r="I387" s="48">
        <v>2418</v>
      </c>
      <c r="J387" s="47" t="s">
        <v>639</v>
      </c>
      <c r="K387" s="47">
        <v>1573</v>
      </c>
    </row>
    <row r="388" spans="1:11" s="38" customFormat="1" ht="29.25" customHeight="1">
      <c r="A388" s="53">
        <v>8804</v>
      </c>
      <c r="B388" s="45" t="s">
        <v>164</v>
      </c>
      <c r="C388" s="52">
        <v>1228</v>
      </c>
      <c r="D388" s="51">
        <v>1397</v>
      </c>
      <c r="E388" s="50">
        <v>1496</v>
      </c>
      <c r="F388" s="49">
        <v>1533</v>
      </c>
      <c r="G388" s="50">
        <v>1641</v>
      </c>
      <c r="H388" s="49">
        <v>1752</v>
      </c>
      <c r="I388" s="48">
        <v>2178</v>
      </c>
      <c r="J388" s="47" t="s">
        <v>639</v>
      </c>
      <c r="K388" s="47">
        <v>1344</v>
      </c>
    </row>
    <row r="389" spans="1:11" s="38" customFormat="1" ht="29.25" customHeight="1" thickBot="1">
      <c r="A389" s="46">
        <v>8899</v>
      </c>
      <c r="B389" s="45" t="s">
        <v>163</v>
      </c>
      <c r="C389" s="44">
        <v>1235</v>
      </c>
      <c r="D389" s="43">
        <v>1405</v>
      </c>
      <c r="E389" s="42">
        <v>1504</v>
      </c>
      <c r="F389" s="41">
        <v>1541</v>
      </c>
      <c r="G389" s="42">
        <v>1650</v>
      </c>
      <c r="H389" s="41">
        <v>1762</v>
      </c>
      <c r="I389" s="40">
        <v>2191</v>
      </c>
      <c r="J389" s="39" t="s">
        <v>639</v>
      </c>
      <c r="K389" s="39">
        <v>1406</v>
      </c>
    </row>
    <row r="390" spans="1:11" s="38" customFormat="1" ht="29.25" customHeight="1">
      <c r="A390" s="45">
        <v>8901</v>
      </c>
      <c r="B390" s="45" t="s">
        <v>162</v>
      </c>
      <c r="C390" s="59">
        <v>1289</v>
      </c>
      <c r="D390" s="58">
        <v>1467</v>
      </c>
      <c r="E390" s="57">
        <v>1570</v>
      </c>
      <c r="F390" s="56">
        <v>1609</v>
      </c>
      <c r="G390" s="57">
        <v>1722</v>
      </c>
      <c r="H390" s="56">
        <v>1839</v>
      </c>
      <c r="I390" s="55">
        <v>2287</v>
      </c>
      <c r="J390" s="54" t="s">
        <v>639</v>
      </c>
      <c r="K390" s="54">
        <v>1458</v>
      </c>
    </row>
    <row r="391" spans="1:11" s="38" customFormat="1" ht="29.25" customHeight="1">
      <c r="A391" s="53">
        <v>8902</v>
      </c>
      <c r="B391" s="45" t="s">
        <v>161</v>
      </c>
      <c r="C391" s="52">
        <v>1281</v>
      </c>
      <c r="D391" s="51">
        <v>1458</v>
      </c>
      <c r="E391" s="50">
        <v>1560</v>
      </c>
      <c r="F391" s="49">
        <v>1599</v>
      </c>
      <c r="G391" s="50">
        <v>1711</v>
      </c>
      <c r="H391" s="49">
        <v>1828</v>
      </c>
      <c r="I391" s="48">
        <v>2272</v>
      </c>
      <c r="J391" s="47" t="s">
        <v>639</v>
      </c>
      <c r="K391" s="47">
        <v>1573</v>
      </c>
    </row>
    <row r="392" spans="1:11" s="38" customFormat="1" ht="29.25" customHeight="1">
      <c r="A392" s="53">
        <v>8903</v>
      </c>
      <c r="B392" s="45" t="s">
        <v>160</v>
      </c>
      <c r="C392" s="52">
        <v>1179</v>
      </c>
      <c r="D392" s="51">
        <v>1342</v>
      </c>
      <c r="E392" s="50">
        <v>1436</v>
      </c>
      <c r="F392" s="49">
        <v>1471</v>
      </c>
      <c r="G392" s="50">
        <v>1575</v>
      </c>
      <c r="H392" s="49">
        <v>1682</v>
      </c>
      <c r="I392" s="48">
        <v>2092</v>
      </c>
      <c r="J392" s="47" t="s">
        <v>639</v>
      </c>
      <c r="K392" s="47">
        <v>1359</v>
      </c>
    </row>
    <row r="393" spans="1:11" s="38" customFormat="1" ht="29.25" customHeight="1">
      <c r="A393" s="53">
        <v>8904</v>
      </c>
      <c r="B393" s="45" t="s">
        <v>159</v>
      </c>
      <c r="C393" s="52">
        <v>1355</v>
      </c>
      <c r="D393" s="51">
        <v>1542</v>
      </c>
      <c r="E393" s="50">
        <v>1650</v>
      </c>
      <c r="F393" s="49">
        <v>1691</v>
      </c>
      <c r="G393" s="50">
        <v>1810</v>
      </c>
      <c r="H393" s="49">
        <v>1934</v>
      </c>
      <c r="I393" s="48">
        <v>2404</v>
      </c>
      <c r="J393" s="47" t="s">
        <v>639</v>
      </c>
      <c r="K393" s="47">
        <v>1637</v>
      </c>
    </row>
    <row r="394" spans="1:11" s="38" customFormat="1" ht="29.25" customHeight="1">
      <c r="A394" s="53">
        <v>8905</v>
      </c>
      <c r="B394" s="45" t="s">
        <v>158</v>
      </c>
      <c r="C394" s="52">
        <v>1377</v>
      </c>
      <c r="D394" s="51">
        <v>1567</v>
      </c>
      <c r="E394" s="50">
        <v>1677</v>
      </c>
      <c r="F394" s="49">
        <v>1718</v>
      </c>
      <c r="G394" s="50">
        <v>1840</v>
      </c>
      <c r="H394" s="49">
        <v>1965</v>
      </c>
      <c r="I394" s="48">
        <v>2443</v>
      </c>
      <c r="J394" s="47" t="s">
        <v>639</v>
      </c>
      <c r="K394" s="47">
        <v>1637</v>
      </c>
    </row>
    <row r="395" spans="1:11" s="38" customFormat="1" ht="29.25" customHeight="1">
      <c r="A395" s="66">
        <v>8999</v>
      </c>
      <c r="B395" s="45" t="s">
        <v>157</v>
      </c>
      <c r="C395" s="65">
        <v>1193</v>
      </c>
      <c r="D395" s="64">
        <v>1358</v>
      </c>
      <c r="E395" s="63">
        <v>1453</v>
      </c>
      <c r="F395" s="62">
        <v>1489</v>
      </c>
      <c r="G395" s="63">
        <v>1594</v>
      </c>
      <c r="H395" s="62">
        <v>1702</v>
      </c>
      <c r="I395" s="61">
        <v>2116</v>
      </c>
      <c r="J395" s="60" t="s">
        <v>639</v>
      </c>
      <c r="K395" s="60">
        <v>1391</v>
      </c>
    </row>
    <row r="396" spans="1:11" s="38" customFormat="1" ht="29.25" customHeight="1">
      <c r="A396" s="45">
        <v>9001</v>
      </c>
      <c r="B396" s="45" t="s">
        <v>156</v>
      </c>
      <c r="C396" s="59">
        <v>1345</v>
      </c>
      <c r="D396" s="58">
        <v>1531</v>
      </c>
      <c r="E396" s="57">
        <v>1638</v>
      </c>
      <c r="F396" s="56">
        <v>1679</v>
      </c>
      <c r="G396" s="57">
        <v>1797</v>
      </c>
      <c r="H396" s="56">
        <v>1919</v>
      </c>
      <c r="I396" s="55">
        <v>2386</v>
      </c>
      <c r="J396" s="54" t="s">
        <v>639</v>
      </c>
      <c r="K396" s="54">
        <v>1716</v>
      </c>
    </row>
    <row r="397" spans="1:11" s="38" customFormat="1" ht="29.25" customHeight="1">
      <c r="A397" s="53">
        <v>9002</v>
      </c>
      <c r="B397" s="45" t="s">
        <v>155</v>
      </c>
      <c r="C397" s="52">
        <v>1403</v>
      </c>
      <c r="D397" s="51">
        <v>1597</v>
      </c>
      <c r="E397" s="50">
        <v>1709</v>
      </c>
      <c r="F397" s="49">
        <v>1751</v>
      </c>
      <c r="G397" s="50">
        <v>1874</v>
      </c>
      <c r="H397" s="49">
        <v>2002</v>
      </c>
      <c r="I397" s="48">
        <v>2489</v>
      </c>
      <c r="J397" s="47" t="s">
        <v>639</v>
      </c>
      <c r="K397" s="47">
        <v>1794</v>
      </c>
    </row>
    <row r="398" spans="1:11" s="38" customFormat="1" ht="29.25" customHeight="1">
      <c r="A398" s="53">
        <v>9003</v>
      </c>
      <c r="B398" s="45" t="s">
        <v>154</v>
      </c>
      <c r="C398" s="52">
        <v>1370</v>
      </c>
      <c r="D398" s="51">
        <v>1559</v>
      </c>
      <c r="E398" s="50">
        <v>1669</v>
      </c>
      <c r="F398" s="49">
        <v>1710</v>
      </c>
      <c r="G398" s="50">
        <v>1830</v>
      </c>
      <c r="H398" s="49">
        <v>1955</v>
      </c>
      <c r="I398" s="48">
        <v>2430</v>
      </c>
      <c r="J398" s="47" t="s">
        <v>639</v>
      </c>
      <c r="K398" s="47">
        <v>1689</v>
      </c>
    </row>
    <row r="399" spans="1:11" s="38" customFormat="1" ht="29.25" customHeight="1">
      <c r="A399" s="53">
        <v>9004</v>
      </c>
      <c r="B399" s="45" t="s">
        <v>153</v>
      </c>
      <c r="C399" s="52">
        <v>1341</v>
      </c>
      <c r="D399" s="51">
        <v>1526</v>
      </c>
      <c r="E399" s="50">
        <v>1633</v>
      </c>
      <c r="F399" s="49">
        <v>1674</v>
      </c>
      <c r="G399" s="50">
        <v>1792</v>
      </c>
      <c r="H399" s="49">
        <v>1914</v>
      </c>
      <c r="I399" s="48">
        <v>2379</v>
      </c>
      <c r="J399" s="47" t="s">
        <v>639</v>
      </c>
      <c r="K399" s="47">
        <v>1694</v>
      </c>
    </row>
    <row r="400" spans="1:11" s="38" customFormat="1" ht="29.25" customHeight="1">
      <c r="A400" s="45">
        <v>9101</v>
      </c>
      <c r="B400" s="45" t="s">
        <v>152</v>
      </c>
      <c r="C400" s="59">
        <v>1319</v>
      </c>
      <c r="D400" s="58">
        <v>1501</v>
      </c>
      <c r="E400" s="57">
        <v>1607</v>
      </c>
      <c r="F400" s="56">
        <v>1646</v>
      </c>
      <c r="G400" s="57">
        <v>1762</v>
      </c>
      <c r="H400" s="56">
        <v>1882</v>
      </c>
      <c r="I400" s="55">
        <v>2340</v>
      </c>
      <c r="J400" s="54" t="s">
        <v>639</v>
      </c>
      <c r="K400" s="54">
        <v>1684</v>
      </c>
    </row>
    <row r="401" spans="1:11" s="38" customFormat="1" ht="29.25" customHeight="1">
      <c r="A401" s="53">
        <v>9102</v>
      </c>
      <c r="B401" s="45" t="s">
        <v>151</v>
      </c>
      <c r="C401" s="52">
        <v>1370</v>
      </c>
      <c r="D401" s="51">
        <v>1559</v>
      </c>
      <c r="E401" s="50">
        <v>1669</v>
      </c>
      <c r="F401" s="49">
        <v>1710</v>
      </c>
      <c r="G401" s="50">
        <v>1830</v>
      </c>
      <c r="H401" s="49">
        <v>1955</v>
      </c>
      <c r="I401" s="48">
        <v>2430</v>
      </c>
      <c r="J401" s="47" t="s">
        <v>639</v>
      </c>
      <c r="K401" s="47">
        <v>1705</v>
      </c>
    </row>
    <row r="402" spans="1:11" s="38" customFormat="1" ht="29.25" customHeight="1">
      <c r="A402" s="53">
        <v>9103</v>
      </c>
      <c r="B402" s="45" t="s">
        <v>150</v>
      </c>
      <c r="C402" s="52">
        <v>1272</v>
      </c>
      <c r="D402" s="51">
        <v>1448</v>
      </c>
      <c r="E402" s="50">
        <v>1549</v>
      </c>
      <c r="F402" s="49">
        <v>1587</v>
      </c>
      <c r="G402" s="50">
        <v>1699</v>
      </c>
      <c r="H402" s="49">
        <v>1815</v>
      </c>
      <c r="I402" s="48">
        <v>2257</v>
      </c>
      <c r="J402" s="47" t="s">
        <v>639</v>
      </c>
      <c r="K402" s="47">
        <v>1642</v>
      </c>
    </row>
    <row r="403" spans="1:11" s="38" customFormat="1" ht="29.25" customHeight="1">
      <c r="A403" s="53">
        <v>9104</v>
      </c>
      <c r="B403" s="45" t="s">
        <v>149</v>
      </c>
      <c r="C403" s="52">
        <v>1335</v>
      </c>
      <c r="D403" s="51">
        <v>1519</v>
      </c>
      <c r="E403" s="50">
        <v>1626</v>
      </c>
      <c r="F403" s="49">
        <v>1666</v>
      </c>
      <c r="G403" s="50">
        <v>1784</v>
      </c>
      <c r="H403" s="49">
        <v>1905</v>
      </c>
      <c r="I403" s="48">
        <v>2368</v>
      </c>
      <c r="J403" s="47" t="s">
        <v>639</v>
      </c>
      <c r="K403" s="47">
        <v>1682</v>
      </c>
    </row>
    <row r="404" spans="1:11" s="38" customFormat="1" ht="29.25" customHeight="1">
      <c r="A404" s="53">
        <v>9105</v>
      </c>
      <c r="B404" s="45" t="s">
        <v>148</v>
      </c>
      <c r="C404" s="52">
        <v>1183</v>
      </c>
      <c r="D404" s="51">
        <v>1346</v>
      </c>
      <c r="E404" s="50">
        <v>1441</v>
      </c>
      <c r="F404" s="49">
        <v>1476</v>
      </c>
      <c r="G404" s="50">
        <v>1580</v>
      </c>
      <c r="H404" s="49">
        <v>1688</v>
      </c>
      <c r="I404" s="48">
        <v>2099</v>
      </c>
      <c r="J404" s="47" t="s">
        <v>639</v>
      </c>
      <c r="K404" s="47">
        <v>1383</v>
      </c>
    </row>
    <row r="405" spans="1:11" s="38" customFormat="1" ht="29.25" customHeight="1">
      <c r="A405" s="53">
        <v>9106</v>
      </c>
      <c r="B405" s="45" t="s">
        <v>147</v>
      </c>
      <c r="C405" s="52">
        <v>1298</v>
      </c>
      <c r="D405" s="51">
        <v>1477</v>
      </c>
      <c r="E405" s="50">
        <v>1581</v>
      </c>
      <c r="F405" s="49">
        <v>1620</v>
      </c>
      <c r="G405" s="50">
        <v>1734</v>
      </c>
      <c r="H405" s="49">
        <v>1852</v>
      </c>
      <c r="I405" s="48">
        <v>2303</v>
      </c>
      <c r="J405" s="47" t="s">
        <v>639</v>
      </c>
      <c r="K405" s="47">
        <v>1637</v>
      </c>
    </row>
    <row r="406" spans="1:11" s="38" customFormat="1" ht="29.25" customHeight="1">
      <c r="A406" s="53">
        <v>9107</v>
      </c>
      <c r="B406" s="45" t="s">
        <v>146</v>
      </c>
      <c r="C406" s="52">
        <v>1308</v>
      </c>
      <c r="D406" s="51">
        <v>1489</v>
      </c>
      <c r="E406" s="50">
        <v>1593</v>
      </c>
      <c r="F406" s="49">
        <v>1632</v>
      </c>
      <c r="G406" s="50">
        <v>1747</v>
      </c>
      <c r="H406" s="49">
        <v>1867</v>
      </c>
      <c r="I406" s="48">
        <v>2320</v>
      </c>
      <c r="J406" s="47" t="s">
        <v>639</v>
      </c>
      <c r="K406" s="47">
        <v>1641</v>
      </c>
    </row>
    <row r="407" spans="1:11" s="38" customFormat="1" ht="29.25" customHeight="1">
      <c r="A407" s="53">
        <v>9108</v>
      </c>
      <c r="B407" s="45" t="s">
        <v>145</v>
      </c>
      <c r="C407" s="52">
        <v>1364</v>
      </c>
      <c r="D407" s="51">
        <v>1552</v>
      </c>
      <c r="E407" s="50">
        <v>1661</v>
      </c>
      <c r="F407" s="49">
        <v>1702</v>
      </c>
      <c r="G407" s="50">
        <v>1822</v>
      </c>
      <c r="H407" s="49">
        <v>1946</v>
      </c>
      <c r="I407" s="48">
        <v>2420</v>
      </c>
      <c r="J407" s="47" t="s">
        <v>639</v>
      </c>
      <c r="K407" s="47">
        <v>1737</v>
      </c>
    </row>
    <row r="408" spans="1:11" s="38" customFormat="1" ht="29.25" customHeight="1">
      <c r="A408" s="66">
        <v>9199</v>
      </c>
      <c r="B408" s="45" t="s">
        <v>144</v>
      </c>
      <c r="C408" s="65">
        <v>1321</v>
      </c>
      <c r="D408" s="64">
        <v>1503</v>
      </c>
      <c r="E408" s="63">
        <v>1609</v>
      </c>
      <c r="F408" s="62">
        <v>1649</v>
      </c>
      <c r="G408" s="63">
        <v>1765</v>
      </c>
      <c r="H408" s="62">
        <v>1885</v>
      </c>
      <c r="I408" s="61">
        <v>2343</v>
      </c>
      <c r="J408" s="60" t="s">
        <v>639</v>
      </c>
      <c r="K408" s="60">
        <v>1632</v>
      </c>
    </row>
    <row r="409" spans="1:11" s="38" customFormat="1" ht="29.25" customHeight="1">
      <c r="A409" s="45">
        <v>9201</v>
      </c>
      <c r="B409" s="45" t="s">
        <v>143</v>
      </c>
      <c r="C409" s="59">
        <v>1313</v>
      </c>
      <c r="D409" s="58">
        <v>1494</v>
      </c>
      <c r="E409" s="57">
        <v>1599</v>
      </c>
      <c r="F409" s="56">
        <v>1639</v>
      </c>
      <c r="G409" s="57">
        <v>1754</v>
      </c>
      <c r="H409" s="56">
        <v>1874</v>
      </c>
      <c r="I409" s="55">
        <v>2329</v>
      </c>
      <c r="J409" s="54" t="s">
        <v>639</v>
      </c>
      <c r="K409" s="54">
        <v>1609</v>
      </c>
    </row>
    <row r="410" spans="1:11" s="38" customFormat="1" ht="29.25" customHeight="1">
      <c r="A410" s="53">
        <v>9202</v>
      </c>
      <c r="B410" s="45" t="s">
        <v>142</v>
      </c>
      <c r="C410" s="52">
        <v>1316</v>
      </c>
      <c r="D410" s="51">
        <v>1498</v>
      </c>
      <c r="E410" s="50">
        <v>1603</v>
      </c>
      <c r="F410" s="49">
        <v>1642</v>
      </c>
      <c r="G410" s="50">
        <v>1758</v>
      </c>
      <c r="H410" s="49">
        <v>1878</v>
      </c>
      <c r="I410" s="48">
        <v>2335</v>
      </c>
      <c r="J410" s="47" t="s">
        <v>639</v>
      </c>
      <c r="K410" s="47">
        <v>1619</v>
      </c>
    </row>
    <row r="411" spans="1:11" s="38" customFormat="1" ht="29.25" customHeight="1">
      <c r="A411" s="53">
        <v>9203</v>
      </c>
      <c r="B411" s="45" t="s">
        <v>141</v>
      </c>
      <c r="C411" s="52">
        <v>1368</v>
      </c>
      <c r="D411" s="51">
        <v>1557</v>
      </c>
      <c r="E411" s="50">
        <v>1666</v>
      </c>
      <c r="F411" s="49">
        <v>1707</v>
      </c>
      <c r="G411" s="50">
        <v>1828</v>
      </c>
      <c r="H411" s="49">
        <v>1952</v>
      </c>
      <c r="I411" s="48">
        <v>2427</v>
      </c>
      <c r="J411" s="47" t="s">
        <v>639</v>
      </c>
      <c r="K411" s="47">
        <v>1596</v>
      </c>
    </row>
    <row r="412" spans="1:11" s="38" customFormat="1" ht="29.25" customHeight="1">
      <c r="A412" s="53">
        <v>9204</v>
      </c>
      <c r="B412" s="45" t="s">
        <v>140</v>
      </c>
      <c r="C412" s="52">
        <v>1822</v>
      </c>
      <c r="D412" s="51">
        <v>2073</v>
      </c>
      <c r="E412" s="50">
        <v>2219</v>
      </c>
      <c r="F412" s="49">
        <v>2274</v>
      </c>
      <c r="G412" s="50">
        <v>2434</v>
      </c>
      <c r="H412" s="49">
        <v>2600</v>
      </c>
      <c r="I412" s="48">
        <v>3232</v>
      </c>
      <c r="J412" s="47">
        <v>1846</v>
      </c>
      <c r="K412" s="47">
        <v>2366</v>
      </c>
    </row>
    <row r="413" spans="1:11" s="38" customFormat="1" ht="29.25" customHeight="1">
      <c r="A413" s="45">
        <v>9301</v>
      </c>
      <c r="B413" s="45" t="s">
        <v>139</v>
      </c>
      <c r="C413" s="59">
        <v>1289</v>
      </c>
      <c r="D413" s="58">
        <v>1467</v>
      </c>
      <c r="E413" s="57">
        <v>1570</v>
      </c>
      <c r="F413" s="56">
        <v>1609</v>
      </c>
      <c r="G413" s="57">
        <v>1722</v>
      </c>
      <c r="H413" s="56">
        <v>1839</v>
      </c>
      <c r="I413" s="55">
        <v>2287</v>
      </c>
      <c r="J413" s="54" t="s">
        <v>639</v>
      </c>
      <c r="K413" s="54">
        <v>1474</v>
      </c>
    </row>
    <row r="414" spans="1:11" s="38" customFormat="1" ht="29.25" customHeight="1">
      <c r="A414" s="66">
        <v>9399</v>
      </c>
      <c r="B414" s="45" t="s">
        <v>138</v>
      </c>
      <c r="C414" s="65">
        <v>1280</v>
      </c>
      <c r="D414" s="64">
        <v>1457</v>
      </c>
      <c r="E414" s="63">
        <v>1559</v>
      </c>
      <c r="F414" s="62">
        <v>1597</v>
      </c>
      <c r="G414" s="63">
        <v>1710</v>
      </c>
      <c r="H414" s="62">
        <v>1827</v>
      </c>
      <c r="I414" s="61">
        <v>2271</v>
      </c>
      <c r="J414" s="60">
        <v>1394</v>
      </c>
      <c r="K414" s="60">
        <v>1509</v>
      </c>
    </row>
    <row r="415" spans="1:11" s="38" customFormat="1" ht="29.25" customHeight="1">
      <c r="A415" s="45">
        <v>9401</v>
      </c>
      <c r="B415" s="45" t="s">
        <v>137</v>
      </c>
      <c r="C415" s="59">
        <v>1338</v>
      </c>
      <c r="D415" s="58">
        <v>1523</v>
      </c>
      <c r="E415" s="57">
        <v>1630</v>
      </c>
      <c r="F415" s="56">
        <v>1670</v>
      </c>
      <c r="G415" s="57">
        <v>1788</v>
      </c>
      <c r="H415" s="56">
        <v>1909</v>
      </c>
      <c r="I415" s="55">
        <v>2374</v>
      </c>
      <c r="J415" s="54" t="s">
        <v>639</v>
      </c>
      <c r="K415" s="54">
        <v>1653</v>
      </c>
    </row>
    <row r="416" spans="1:11" s="38" customFormat="1" ht="29.25" customHeight="1">
      <c r="A416" s="53">
        <v>9402</v>
      </c>
      <c r="B416" s="45" t="s">
        <v>136</v>
      </c>
      <c r="C416" s="52">
        <v>1248</v>
      </c>
      <c r="D416" s="51">
        <v>1420</v>
      </c>
      <c r="E416" s="50">
        <v>1520</v>
      </c>
      <c r="F416" s="49">
        <v>1558</v>
      </c>
      <c r="G416" s="50">
        <v>1667</v>
      </c>
      <c r="H416" s="49">
        <v>1781</v>
      </c>
      <c r="I416" s="48">
        <v>2214</v>
      </c>
      <c r="J416" s="47" t="s">
        <v>639</v>
      </c>
      <c r="K416" s="47">
        <v>1546</v>
      </c>
    </row>
    <row r="417" spans="1:11" s="38" customFormat="1" ht="29.25" customHeight="1">
      <c r="A417" s="53">
        <v>9403</v>
      </c>
      <c r="B417" s="45" t="s">
        <v>135</v>
      </c>
      <c r="C417" s="52">
        <v>1190</v>
      </c>
      <c r="D417" s="51">
        <v>1354</v>
      </c>
      <c r="E417" s="50">
        <v>1449</v>
      </c>
      <c r="F417" s="49">
        <v>1485</v>
      </c>
      <c r="G417" s="50">
        <v>1590</v>
      </c>
      <c r="H417" s="49">
        <v>1698</v>
      </c>
      <c r="I417" s="48">
        <v>2111</v>
      </c>
      <c r="J417" s="47" t="s">
        <v>639</v>
      </c>
      <c r="K417" s="47">
        <v>1501</v>
      </c>
    </row>
    <row r="418" spans="1:11" s="38" customFormat="1" ht="29.25" customHeight="1">
      <c r="A418" s="53">
        <v>9404</v>
      </c>
      <c r="B418" s="45" t="s">
        <v>134</v>
      </c>
      <c r="C418" s="52">
        <v>1265</v>
      </c>
      <c r="D418" s="51">
        <v>1440</v>
      </c>
      <c r="E418" s="50">
        <v>1541</v>
      </c>
      <c r="F418" s="49">
        <v>1579</v>
      </c>
      <c r="G418" s="50">
        <v>1690</v>
      </c>
      <c r="H418" s="49">
        <v>1805</v>
      </c>
      <c r="I418" s="48">
        <v>2244</v>
      </c>
      <c r="J418" s="47" t="s">
        <v>639</v>
      </c>
      <c r="K418" s="47">
        <v>1588</v>
      </c>
    </row>
    <row r="419" spans="1:11" s="38" customFormat="1" ht="29.25" customHeight="1">
      <c r="A419" s="66">
        <v>9405</v>
      </c>
      <c r="B419" s="45" t="s">
        <v>133</v>
      </c>
      <c r="C419" s="65">
        <v>1281</v>
      </c>
      <c r="D419" s="64">
        <v>1458</v>
      </c>
      <c r="E419" s="63">
        <v>1560</v>
      </c>
      <c r="F419" s="62">
        <v>1599</v>
      </c>
      <c r="G419" s="63">
        <v>1711</v>
      </c>
      <c r="H419" s="62">
        <v>1828</v>
      </c>
      <c r="I419" s="61">
        <v>2272</v>
      </c>
      <c r="J419" s="60" t="s">
        <v>639</v>
      </c>
      <c r="K419" s="60">
        <v>1630</v>
      </c>
    </row>
    <row r="420" spans="1:11" s="38" customFormat="1" ht="29.25" customHeight="1">
      <c r="A420" s="45">
        <v>9501</v>
      </c>
      <c r="B420" s="45" t="s">
        <v>132</v>
      </c>
      <c r="C420" s="59">
        <v>1187</v>
      </c>
      <c r="D420" s="58">
        <v>1351</v>
      </c>
      <c r="E420" s="57">
        <v>1446</v>
      </c>
      <c r="F420" s="56">
        <v>1481</v>
      </c>
      <c r="G420" s="57">
        <v>1586</v>
      </c>
      <c r="H420" s="56">
        <v>1694</v>
      </c>
      <c r="I420" s="55">
        <v>2106</v>
      </c>
      <c r="J420" s="54" t="s">
        <v>639</v>
      </c>
      <c r="K420" s="54">
        <v>1332</v>
      </c>
    </row>
    <row r="421" spans="1:11" s="38" customFormat="1" ht="29.25" customHeight="1">
      <c r="A421" s="53">
        <v>9502</v>
      </c>
      <c r="B421" s="45" t="s">
        <v>131</v>
      </c>
      <c r="C421" s="52">
        <v>1267</v>
      </c>
      <c r="D421" s="51">
        <v>1442</v>
      </c>
      <c r="E421" s="50">
        <v>1543</v>
      </c>
      <c r="F421" s="49">
        <v>1581</v>
      </c>
      <c r="G421" s="50">
        <v>1693</v>
      </c>
      <c r="H421" s="49">
        <v>1808</v>
      </c>
      <c r="I421" s="48">
        <v>2248</v>
      </c>
      <c r="J421" s="47" t="s">
        <v>639</v>
      </c>
      <c r="K421" s="47">
        <v>1407</v>
      </c>
    </row>
    <row r="422" spans="1:11" s="38" customFormat="1" ht="29.25" customHeight="1">
      <c r="A422" s="53">
        <v>9503</v>
      </c>
      <c r="B422" s="45" t="s">
        <v>130</v>
      </c>
      <c r="C422" s="52">
        <v>1205</v>
      </c>
      <c r="D422" s="51">
        <v>1371</v>
      </c>
      <c r="E422" s="50">
        <v>1468</v>
      </c>
      <c r="F422" s="49">
        <v>1504</v>
      </c>
      <c r="G422" s="50">
        <v>1610</v>
      </c>
      <c r="H422" s="49">
        <v>1720</v>
      </c>
      <c r="I422" s="48">
        <v>2138</v>
      </c>
      <c r="J422" s="47" t="s">
        <v>639</v>
      </c>
      <c r="K422" s="47">
        <v>1338</v>
      </c>
    </row>
    <row r="423" spans="1:11" s="38" customFormat="1" ht="29.25" customHeight="1">
      <c r="A423" s="53">
        <v>9504</v>
      </c>
      <c r="B423" s="45" t="s">
        <v>129</v>
      </c>
      <c r="C423" s="52">
        <v>1144</v>
      </c>
      <c r="D423" s="51">
        <v>1302</v>
      </c>
      <c r="E423" s="50">
        <v>1393</v>
      </c>
      <c r="F423" s="49">
        <v>1428</v>
      </c>
      <c r="G423" s="50">
        <v>1528</v>
      </c>
      <c r="H423" s="49">
        <v>1632</v>
      </c>
      <c r="I423" s="48">
        <v>2029</v>
      </c>
      <c r="J423" s="47" t="s">
        <v>639</v>
      </c>
      <c r="K423" s="47">
        <v>1269</v>
      </c>
    </row>
    <row r="424" spans="1:11" s="38" customFormat="1" ht="29.25" customHeight="1">
      <c r="A424" s="45">
        <v>9601</v>
      </c>
      <c r="B424" s="45" t="s">
        <v>128</v>
      </c>
      <c r="C424" s="59">
        <v>1138</v>
      </c>
      <c r="D424" s="58">
        <v>1295</v>
      </c>
      <c r="E424" s="57">
        <v>1386</v>
      </c>
      <c r="F424" s="56">
        <v>1420</v>
      </c>
      <c r="G424" s="57">
        <v>1520</v>
      </c>
      <c r="H424" s="56">
        <v>1624</v>
      </c>
      <c r="I424" s="55">
        <v>2019</v>
      </c>
      <c r="J424" s="54" t="s">
        <v>639</v>
      </c>
      <c r="K424" s="54">
        <v>1221</v>
      </c>
    </row>
    <row r="425" spans="1:11" s="38" customFormat="1" ht="29.25" customHeight="1">
      <c r="A425" s="53">
        <v>9602</v>
      </c>
      <c r="B425" s="45" t="s">
        <v>127</v>
      </c>
      <c r="C425" s="52">
        <v>1212</v>
      </c>
      <c r="D425" s="51">
        <v>1379</v>
      </c>
      <c r="E425" s="50">
        <v>1476</v>
      </c>
      <c r="F425" s="49">
        <v>1513</v>
      </c>
      <c r="G425" s="50">
        <v>1619</v>
      </c>
      <c r="H425" s="49">
        <v>1730</v>
      </c>
      <c r="I425" s="48">
        <v>2150</v>
      </c>
      <c r="J425" s="47" t="s">
        <v>639</v>
      </c>
      <c r="K425" s="47">
        <v>1410</v>
      </c>
    </row>
    <row r="426" spans="1:11" s="38" customFormat="1" ht="29.25" customHeight="1">
      <c r="A426" s="53">
        <v>9603</v>
      </c>
      <c r="B426" s="45" t="s">
        <v>126</v>
      </c>
      <c r="C426" s="52">
        <v>1199</v>
      </c>
      <c r="D426" s="51">
        <v>1364</v>
      </c>
      <c r="E426" s="50">
        <v>1460</v>
      </c>
      <c r="F426" s="49">
        <v>1496</v>
      </c>
      <c r="G426" s="50">
        <v>1602</v>
      </c>
      <c r="H426" s="49">
        <v>1711</v>
      </c>
      <c r="I426" s="48">
        <v>2127</v>
      </c>
      <c r="J426" s="47" t="s">
        <v>639</v>
      </c>
      <c r="K426" s="47">
        <v>1310</v>
      </c>
    </row>
    <row r="427" spans="1:11" s="38" customFormat="1" ht="29.25" customHeight="1">
      <c r="A427" s="53">
        <v>9604</v>
      </c>
      <c r="B427" s="45" t="s">
        <v>125</v>
      </c>
      <c r="C427" s="52">
        <v>1230</v>
      </c>
      <c r="D427" s="51">
        <v>1400</v>
      </c>
      <c r="E427" s="50">
        <v>1498</v>
      </c>
      <c r="F427" s="49">
        <v>1535</v>
      </c>
      <c r="G427" s="50">
        <v>1643</v>
      </c>
      <c r="H427" s="49">
        <v>1755</v>
      </c>
      <c r="I427" s="48">
        <v>2182</v>
      </c>
      <c r="J427" s="47" t="s">
        <v>639</v>
      </c>
      <c r="K427" s="47">
        <v>1386</v>
      </c>
    </row>
    <row r="428" spans="1:11" s="38" customFormat="1" ht="29.25" customHeight="1">
      <c r="A428" s="53">
        <v>9605</v>
      </c>
      <c r="B428" s="45" t="s">
        <v>124</v>
      </c>
      <c r="C428" s="52">
        <v>1201</v>
      </c>
      <c r="D428" s="51">
        <v>1367</v>
      </c>
      <c r="E428" s="50">
        <v>1463</v>
      </c>
      <c r="F428" s="49">
        <v>1499</v>
      </c>
      <c r="G428" s="50">
        <v>1605</v>
      </c>
      <c r="H428" s="49">
        <v>1714</v>
      </c>
      <c r="I428" s="48">
        <v>2131</v>
      </c>
      <c r="J428" s="47" t="s">
        <v>639</v>
      </c>
      <c r="K428" s="47">
        <v>1302</v>
      </c>
    </row>
    <row r="429" spans="1:11" s="38" customFormat="1" ht="29.25" customHeight="1">
      <c r="A429" s="53">
        <v>9606</v>
      </c>
      <c r="B429" s="45" t="s">
        <v>123</v>
      </c>
      <c r="C429" s="52">
        <v>1257</v>
      </c>
      <c r="D429" s="51">
        <v>1430</v>
      </c>
      <c r="E429" s="50">
        <v>1531</v>
      </c>
      <c r="F429" s="49">
        <v>1569</v>
      </c>
      <c r="G429" s="50">
        <v>1679</v>
      </c>
      <c r="H429" s="49">
        <v>1794</v>
      </c>
      <c r="I429" s="48">
        <v>2230</v>
      </c>
      <c r="J429" s="47" t="s">
        <v>639</v>
      </c>
      <c r="K429" s="47">
        <v>1403</v>
      </c>
    </row>
    <row r="430" spans="1:11" s="38" customFormat="1" ht="29.25" customHeight="1">
      <c r="A430" s="53">
        <v>9607</v>
      </c>
      <c r="B430" s="45" t="s">
        <v>122</v>
      </c>
      <c r="C430" s="52">
        <v>1222</v>
      </c>
      <c r="D430" s="51">
        <v>1391</v>
      </c>
      <c r="E430" s="50">
        <v>1488</v>
      </c>
      <c r="F430" s="49">
        <v>1525</v>
      </c>
      <c r="G430" s="50">
        <v>1633</v>
      </c>
      <c r="H430" s="49">
        <v>1744</v>
      </c>
      <c r="I430" s="48">
        <v>2168</v>
      </c>
      <c r="J430" s="47" t="s">
        <v>639</v>
      </c>
      <c r="K430" s="47">
        <v>1418</v>
      </c>
    </row>
    <row r="431" spans="1:11" s="38" customFormat="1" ht="29.25" customHeight="1" thickBot="1">
      <c r="A431" s="46">
        <v>9699</v>
      </c>
      <c r="B431" s="45" t="s">
        <v>121</v>
      </c>
      <c r="C431" s="44">
        <v>1273</v>
      </c>
      <c r="D431" s="43">
        <v>1449</v>
      </c>
      <c r="E431" s="42">
        <v>1551</v>
      </c>
      <c r="F431" s="41">
        <v>1589</v>
      </c>
      <c r="G431" s="42">
        <v>1701</v>
      </c>
      <c r="H431" s="41">
        <v>1817</v>
      </c>
      <c r="I431" s="40">
        <v>2258</v>
      </c>
      <c r="J431" s="39" t="s">
        <v>639</v>
      </c>
      <c r="K431" s="39">
        <v>1444</v>
      </c>
    </row>
    <row r="432" spans="1:11" s="38" customFormat="1" ht="29.25" customHeight="1">
      <c r="A432" s="45">
        <v>9701</v>
      </c>
      <c r="B432" s="45" t="s">
        <v>120</v>
      </c>
      <c r="C432" s="59">
        <v>1099</v>
      </c>
      <c r="D432" s="58">
        <v>1251</v>
      </c>
      <c r="E432" s="57">
        <v>1339</v>
      </c>
      <c r="F432" s="56">
        <v>1372</v>
      </c>
      <c r="G432" s="57">
        <v>1468</v>
      </c>
      <c r="H432" s="56">
        <v>1568</v>
      </c>
      <c r="I432" s="55">
        <v>1950</v>
      </c>
      <c r="J432" s="54" t="s">
        <v>639</v>
      </c>
      <c r="K432" s="54">
        <v>1193</v>
      </c>
    </row>
    <row r="433" spans="1:11" s="38" customFormat="1" ht="29.25" customHeight="1">
      <c r="A433" s="66">
        <v>9702</v>
      </c>
      <c r="B433" s="45" t="s">
        <v>119</v>
      </c>
      <c r="C433" s="65">
        <v>1110</v>
      </c>
      <c r="D433" s="64">
        <v>1263</v>
      </c>
      <c r="E433" s="63">
        <v>1352</v>
      </c>
      <c r="F433" s="62">
        <v>1385</v>
      </c>
      <c r="G433" s="63">
        <v>1483</v>
      </c>
      <c r="H433" s="62">
        <v>1584</v>
      </c>
      <c r="I433" s="61">
        <v>1969</v>
      </c>
      <c r="J433" s="60" t="s">
        <v>639</v>
      </c>
      <c r="K433" s="60">
        <v>1194</v>
      </c>
    </row>
    <row r="434" spans="1:11" s="38" customFormat="1" ht="29.25" customHeight="1">
      <c r="A434" s="45">
        <v>9801</v>
      </c>
      <c r="B434" s="45" t="s">
        <v>118</v>
      </c>
      <c r="C434" s="59">
        <v>1195</v>
      </c>
      <c r="D434" s="58">
        <v>1360</v>
      </c>
      <c r="E434" s="57">
        <v>1456</v>
      </c>
      <c r="F434" s="56">
        <v>1491</v>
      </c>
      <c r="G434" s="57">
        <v>1597</v>
      </c>
      <c r="H434" s="56">
        <v>1705</v>
      </c>
      <c r="I434" s="55">
        <v>2120</v>
      </c>
      <c r="J434" s="54" t="s">
        <v>639</v>
      </c>
      <c r="K434" s="54">
        <v>1311</v>
      </c>
    </row>
    <row r="435" spans="1:11" s="38" customFormat="1" ht="29.25" customHeight="1" thickBot="1">
      <c r="A435" s="46">
        <v>9802</v>
      </c>
      <c r="B435" s="45" t="s">
        <v>117</v>
      </c>
      <c r="C435" s="44">
        <v>1175</v>
      </c>
      <c r="D435" s="43">
        <v>1337</v>
      </c>
      <c r="E435" s="42">
        <v>1431</v>
      </c>
      <c r="F435" s="41">
        <v>1466</v>
      </c>
      <c r="G435" s="42">
        <v>1570</v>
      </c>
      <c r="H435" s="41">
        <v>1677</v>
      </c>
      <c r="I435" s="40">
        <v>2084</v>
      </c>
      <c r="J435" s="39" t="s">
        <v>639</v>
      </c>
      <c r="K435" s="39">
        <v>1276</v>
      </c>
    </row>
    <row r="436" spans="1:11" s="38" customFormat="1" ht="29.25" customHeight="1">
      <c r="A436" s="45">
        <v>9901</v>
      </c>
      <c r="B436" s="45" t="s">
        <v>116</v>
      </c>
      <c r="C436" s="59">
        <v>1193</v>
      </c>
      <c r="D436" s="58">
        <v>1358</v>
      </c>
      <c r="E436" s="57">
        <v>1453</v>
      </c>
      <c r="F436" s="56">
        <v>1489</v>
      </c>
      <c r="G436" s="57">
        <v>1594</v>
      </c>
      <c r="H436" s="56">
        <v>1702</v>
      </c>
      <c r="I436" s="55">
        <v>2116</v>
      </c>
      <c r="J436" s="54" t="s">
        <v>639</v>
      </c>
      <c r="K436" s="54">
        <v>1334</v>
      </c>
    </row>
    <row r="437" spans="1:11" s="38" customFormat="1" ht="29.25" customHeight="1">
      <c r="A437" s="53">
        <v>9902</v>
      </c>
      <c r="B437" s="45" t="s">
        <v>115</v>
      </c>
      <c r="C437" s="52">
        <v>1172</v>
      </c>
      <c r="D437" s="51">
        <v>1334</v>
      </c>
      <c r="E437" s="50">
        <v>1427</v>
      </c>
      <c r="F437" s="49">
        <v>1463</v>
      </c>
      <c r="G437" s="50">
        <v>1566</v>
      </c>
      <c r="H437" s="49">
        <v>1672</v>
      </c>
      <c r="I437" s="48">
        <v>2079</v>
      </c>
      <c r="J437" s="47" t="s">
        <v>639</v>
      </c>
      <c r="K437" s="47">
        <v>1302</v>
      </c>
    </row>
    <row r="438" spans="1:11" s="38" customFormat="1" ht="29.25" customHeight="1">
      <c r="A438" s="53">
        <v>9903</v>
      </c>
      <c r="B438" s="45" t="s">
        <v>114</v>
      </c>
      <c r="C438" s="52">
        <v>1148</v>
      </c>
      <c r="D438" s="51">
        <v>1306</v>
      </c>
      <c r="E438" s="50">
        <v>1398</v>
      </c>
      <c r="F438" s="49">
        <v>1433</v>
      </c>
      <c r="G438" s="50">
        <v>1534</v>
      </c>
      <c r="H438" s="49">
        <v>1638</v>
      </c>
      <c r="I438" s="48">
        <v>2037</v>
      </c>
      <c r="J438" s="47" t="s">
        <v>639</v>
      </c>
      <c r="K438" s="47">
        <v>1216</v>
      </c>
    </row>
    <row r="439" spans="1:11" s="38" customFormat="1" ht="29.25" customHeight="1">
      <c r="A439" s="53">
        <v>9904</v>
      </c>
      <c r="B439" s="45" t="s">
        <v>113</v>
      </c>
      <c r="C439" s="52">
        <v>1095</v>
      </c>
      <c r="D439" s="51">
        <v>1246</v>
      </c>
      <c r="E439" s="50">
        <v>1334</v>
      </c>
      <c r="F439" s="49">
        <v>1367</v>
      </c>
      <c r="G439" s="50">
        <v>1463</v>
      </c>
      <c r="H439" s="49">
        <v>1563</v>
      </c>
      <c r="I439" s="48">
        <v>1943</v>
      </c>
      <c r="J439" s="47" t="s">
        <v>639</v>
      </c>
      <c r="K439" s="47">
        <v>1182</v>
      </c>
    </row>
    <row r="440" spans="1:11" s="38" customFormat="1" ht="29.25" customHeight="1" thickBot="1">
      <c r="A440" s="46">
        <v>9999</v>
      </c>
      <c r="B440" s="45" t="s">
        <v>112</v>
      </c>
      <c r="C440" s="44">
        <v>1214</v>
      </c>
      <c r="D440" s="43">
        <v>1382</v>
      </c>
      <c r="E440" s="42">
        <v>1479</v>
      </c>
      <c r="F440" s="41">
        <v>1515</v>
      </c>
      <c r="G440" s="42">
        <v>1622</v>
      </c>
      <c r="H440" s="41">
        <v>1732</v>
      </c>
      <c r="I440" s="40">
        <v>2154</v>
      </c>
      <c r="J440" s="39" t="s">
        <v>639</v>
      </c>
      <c r="K440" s="39">
        <v>1389</v>
      </c>
    </row>
    <row r="441" spans="1:11" ht="18.75" customHeight="1"/>
  </sheetData>
  <sheetProtection algorithmName="SHA-512" hashValue="AILZ2vaYJD3Q/y0K18aiORR5mqgqTFoqK8twuI32n+CpWpzQ/tJmSqTSTt3pw2ej1LYJw6jx0OO0Tcxa5n0Guw==" saltValue="fZLAjcUJSdYvPmUmwPyO9A==" spinCount="100000" sheet="1" formatCells="0" formatColumns="0" formatRows="0" insertColumns="0" insertRows="0" insertHyperlinks="0" deleteColumns="0" deleteRows="0" sort="0" autoFilter="0" pivotTables="0"/>
  <phoneticPr fontId="4"/>
  <conditionalFormatting sqref="J3:J440">
    <cfRule type="cellIs" dxfId="0" priority="1" operator="between">
      <formula>1</formula>
      <formula>9999</formula>
    </cfRule>
  </conditionalFormatting>
  <printOptions horizontalCentered="1"/>
  <pageMargins left="0.70866141732283472" right="0.70866141732283472" top="0.74803149606299213" bottom="0.74803149606299213" header="0.31496062992125984" footer="0.31496062992125984"/>
  <pageSetup paperSize="9" scale="4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DCED-5141-4ADA-9E4F-12CAD2841BFD}">
  <sheetPr>
    <tabColor rgb="FFFF0000"/>
    <pageSetUpPr fitToPage="1"/>
  </sheetPr>
  <dimension ref="B1:G487"/>
  <sheetViews>
    <sheetView topLeftCell="A103" zoomScale="130" zoomScaleNormal="130" zoomScaleSheetLayoutView="130" workbookViewId="0">
      <selection activeCell="D17" sqref="D17"/>
    </sheetView>
  </sheetViews>
  <sheetFormatPr defaultColWidth="9" defaultRowHeight="18"/>
  <cols>
    <col min="1" max="1" width="5" style="123" customWidth="1"/>
    <col min="2" max="2" width="5.25" style="123" customWidth="1"/>
    <col min="3" max="3" width="11.08203125" style="134" customWidth="1"/>
    <col min="4" max="4" width="30.75" style="123" customWidth="1"/>
    <col min="5" max="5" width="5.25" style="123" customWidth="1"/>
    <col min="6" max="6" width="5" style="123" customWidth="1"/>
    <col min="7" max="10" width="8.08203125" style="123" customWidth="1"/>
    <col min="11" max="16384" width="9" style="123"/>
  </cols>
  <sheetData>
    <row r="1" spans="2:7" ht="24.75" customHeight="1" thickBot="1">
      <c r="E1" s="436" t="s">
        <v>633</v>
      </c>
      <c r="F1" s="437"/>
    </row>
    <row r="2" spans="2:7" ht="33" customHeight="1" thickBot="1">
      <c r="B2" s="434" t="s">
        <v>632</v>
      </c>
      <c r="C2" s="435"/>
      <c r="D2" s="435"/>
      <c r="E2" s="435"/>
      <c r="F2" s="133"/>
      <c r="G2" s="132"/>
    </row>
    <row r="3" spans="2:7" ht="27" customHeight="1" thickBot="1">
      <c r="B3" s="124"/>
      <c r="C3" s="135"/>
      <c r="D3" s="131" t="s">
        <v>631</v>
      </c>
      <c r="E3" s="124"/>
      <c r="G3" s="130"/>
    </row>
    <row r="4" spans="2:7" ht="9" customHeight="1">
      <c r="B4" s="124"/>
      <c r="C4" s="135"/>
      <c r="D4" s="129"/>
      <c r="E4" s="124"/>
    </row>
    <row r="5" spans="2:7" ht="22" thickBot="1">
      <c r="B5" s="124"/>
      <c r="C5" s="136" t="s">
        <v>630</v>
      </c>
      <c r="D5" s="128">
        <v>100</v>
      </c>
      <c r="E5" s="124"/>
    </row>
    <row r="6" spans="2:7" ht="9" customHeight="1">
      <c r="B6" s="124"/>
      <c r="C6" s="137"/>
      <c r="D6" s="127"/>
      <c r="E6" s="124"/>
    </row>
    <row r="7" spans="2:7" ht="21.5">
      <c r="B7" s="124"/>
      <c r="C7" s="146" t="s">
        <v>629</v>
      </c>
      <c r="D7" s="126">
        <v>94.8</v>
      </c>
      <c r="E7" s="124"/>
    </row>
    <row r="8" spans="2:7" ht="21.5">
      <c r="B8" s="124"/>
      <c r="C8" s="146" t="s">
        <v>628</v>
      </c>
      <c r="D8" s="126">
        <v>85.4</v>
      </c>
      <c r="E8" s="124"/>
    </row>
    <row r="9" spans="2:7" ht="21.5">
      <c r="B9" s="124"/>
      <c r="C9" s="146" t="s">
        <v>627</v>
      </c>
      <c r="D9" s="126">
        <v>87.7</v>
      </c>
      <c r="E9" s="124"/>
    </row>
    <row r="10" spans="2:7" ht="21.5">
      <c r="B10" s="124"/>
      <c r="C10" s="146" t="s">
        <v>626</v>
      </c>
      <c r="D10" s="126">
        <v>96.3</v>
      </c>
      <c r="E10" s="124"/>
    </row>
    <row r="11" spans="2:7" ht="21.5">
      <c r="B11" s="124"/>
      <c r="C11" s="146" t="s">
        <v>625</v>
      </c>
      <c r="D11" s="126">
        <v>86.9</v>
      </c>
      <c r="E11" s="124"/>
    </row>
    <row r="12" spans="2:7" ht="21.5">
      <c r="B12" s="124"/>
      <c r="C12" s="146" t="s">
        <v>624</v>
      </c>
      <c r="D12" s="126">
        <v>89.2</v>
      </c>
      <c r="E12" s="124"/>
    </row>
    <row r="13" spans="2:7" ht="21.5">
      <c r="B13" s="124"/>
      <c r="C13" s="146" t="s">
        <v>623</v>
      </c>
      <c r="D13" s="126">
        <v>92.5</v>
      </c>
      <c r="E13" s="124"/>
    </row>
    <row r="14" spans="2:7" ht="21.5">
      <c r="B14" s="124"/>
      <c r="C14" s="146" t="s">
        <v>622</v>
      </c>
      <c r="D14" s="126">
        <v>101</v>
      </c>
      <c r="E14" s="124"/>
    </row>
    <row r="15" spans="2:7" ht="21.5">
      <c r="B15" s="124"/>
      <c r="C15" s="146" t="s">
        <v>621</v>
      </c>
      <c r="D15" s="126">
        <v>99.6</v>
      </c>
      <c r="E15" s="124"/>
    </row>
    <row r="16" spans="2:7" ht="21.5">
      <c r="B16" s="124"/>
      <c r="C16" s="146" t="s">
        <v>620</v>
      </c>
      <c r="D16" s="126">
        <v>99</v>
      </c>
      <c r="E16" s="124"/>
    </row>
    <row r="17" spans="2:5" ht="21.5">
      <c r="B17" s="124"/>
      <c r="C17" s="146" t="s">
        <v>619</v>
      </c>
      <c r="D17" s="126">
        <v>107.2</v>
      </c>
      <c r="E17" s="124"/>
    </row>
    <row r="18" spans="2:5" ht="21.5">
      <c r="B18" s="124"/>
      <c r="C18" s="146" t="s">
        <v>618</v>
      </c>
      <c r="D18" s="126">
        <v>106.7</v>
      </c>
      <c r="E18" s="124"/>
    </row>
    <row r="19" spans="2:5" ht="21.5">
      <c r="B19" s="124"/>
      <c r="C19" s="146" t="s">
        <v>617</v>
      </c>
      <c r="D19" s="126">
        <v>111.4</v>
      </c>
      <c r="E19" s="124"/>
    </row>
    <row r="20" spans="2:5" ht="21.5">
      <c r="B20" s="124"/>
      <c r="C20" s="146" t="s">
        <v>616</v>
      </c>
      <c r="D20" s="126">
        <v>110.1</v>
      </c>
      <c r="E20" s="124"/>
    </row>
    <row r="21" spans="2:5" ht="21.5">
      <c r="B21" s="124"/>
      <c r="C21" s="146" t="s">
        <v>615</v>
      </c>
      <c r="D21" s="126">
        <v>94.4</v>
      </c>
      <c r="E21" s="124"/>
    </row>
    <row r="22" spans="2:5" ht="21.5">
      <c r="B22" s="124"/>
      <c r="C22" s="146" t="s">
        <v>614</v>
      </c>
      <c r="D22" s="126">
        <v>96.4</v>
      </c>
      <c r="E22" s="124"/>
    </row>
    <row r="23" spans="2:5" ht="21.5">
      <c r="B23" s="124"/>
      <c r="C23" s="146" t="s">
        <v>613</v>
      </c>
      <c r="D23" s="126">
        <v>97</v>
      </c>
      <c r="E23" s="124"/>
    </row>
    <row r="24" spans="2:5" ht="21.5">
      <c r="B24" s="124"/>
      <c r="C24" s="146" t="s">
        <v>612</v>
      </c>
      <c r="D24" s="126">
        <v>97</v>
      </c>
      <c r="E24" s="124"/>
    </row>
    <row r="25" spans="2:5" ht="21.5">
      <c r="B25" s="124"/>
      <c r="C25" s="146" t="s">
        <v>611</v>
      </c>
      <c r="D25" s="126">
        <v>99.3</v>
      </c>
      <c r="E25" s="124"/>
    </row>
    <row r="26" spans="2:5" ht="21.5">
      <c r="B26" s="124"/>
      <c r="C26" s="146" t="s">
        <v>610</v>
      </c>
      <c r="D26" s="126">
        <v>96.9</v>
      </c>
      <c r="E26" s="124"/>
    </row>
    <row r="27" spans="2:5" ht="21.5">
      <c r="B27" s="124"/>
      <c r="C27" s="146" t="s">
        <v>609</v>
      </c>
      <c r="D27" s="126">
        <v>100.5</v>
      </c>
      <c r="E27" s="124"/>
    </row>
    <row r="28" spans="2:5" ht="21.5">
      <c r="B28" s="124"/>
      <c r="C28" s="146" t="s">
        <v>608</v>
      </c>
      <c r="D28" s="126">
        <v>100.7</v>
      </c>
      <c r="E28" s="124"/>
    </row>
    <row r="29" spans="2:5" ht="21.5">
      <c r="B29" s="124"/>
      <c r="C29" s="146" t="s">
        <v>607</v>
      </c>
      <c r="D29" s="126">
        <v>104.4</v>
      </c>
      <c r="E29" s="124"/>
    </row>
    <row r="30" spans="2:5" ht="21.5">
      <c r="B30" s="124"/>
      <c r="C30" s="146" t="s">
        <v>606</v>
      </c>
      <c r="D30" s="126">
        <v>98.6</v>
      </c>
      <c r="E30" s="124"/>
    </row>
    <row r="31" spans="2:5" ht="21.5">
      <c r="B31" s="124"/>
      <c r="C31" s="146" t="s">
        <v>605</v>
      </c>
      <c r="D31" s="126">
        <v>98.9</v>
      </c>
      <c r="E31" s="124"/>
    </row>
    <row r="32" spans="2:5" ht="21.5">
      <c r="B32" s="124"/>
      <c r="C32" s="146" t="s">
        <v>604</v>
      </c>
      <c r="D32" s="126">
        <v>101.5</v>
      </c>
      <c r="E32" s="124"/>
    </row>
    <row r="33" spans="2:5" ht="21.5">
      <c r="B33" s="124"/>
      <c r="C33" s="146" t="s">
        <v>603</v>
      </c>
      <c r="D33" s="126">
        <v>107.4</v>
      </c>
      <c r="E33" s="124"/>
    </row>
    <row r="34" spans="2:5" ht="21.5">
      <c r="B34" s="124"/>
      <c r="C34" s="146" t="s">
        <v>602</v>
      </c>
      <c r="D34" s="126">
        <v>102.3</v>
      </c>
      <c r="E34" s="124"/>
    </row>
    <row r="35" spans="2:5" ht="21.5">
      <c r="B35" s="124"/>
      <c r="C35" s="146" t="s">
        <v>601</v>
      </c>
      <c r="D35" s="126">
        <v>102.8</v>
      </c>
      <c r="E35" s="124"/>
    </row>
    <row r="36" spans="2:5" ht="21.5">
      <c r="B36" s="124"/>
      <c r="C36" s="146" t="s">
        <v>600</v>
      </c>
      <c r="D36" s="126">
        <v>94.1</v>
      </c>
      <c r="E36" s="124"/>
    </row>
    <row r="37" spans="2:5" ht="21.5">
      <c r="B37" s="124"/>
      <c r="C37" s="146" t="s">
        <v>599</v>
      </c>
      <c r="D37" s="126">
        <v>89.6</v>
      </c>
      <c r="E37" s="124"/>
    </row>
    <row r="38" spans="2:5" ht="21.5">
      <c r="B38" s="124"/>
      <c r="C38" s="146" t="s">
        <v>598</v>
      </c>
      <c r="D38" s="126">
        <v>87.8</v>
      </c>
      <c r="E38" s="124"/>
    </row>
    <row r="39" spans="2:5" ht="21.5">
      <c r="B39" s="124"/>
      <c r="C39" s="146" t="s">
        <v>597</v>
      </c>
      <c r="D39" s="126">
        <v>95.7</v>
      </c>
      <c r="E39" s="124"/>
    </row>
    <row r="40" spans="2:5" ht="21.5">
      <c r="B40" s="124"/>
      <c r="C40" s="146" t="s">
        <v>596</v>
      </c>
      <c r="D40" s="126">
        <v>97.4</v>
      </c>
      <c r="E40" s="124"/>
    </row>
    <row r="41" spans="2:5" ht="21.5">
      <c r="B41" s="124"/>
      <c r="C41" s="146" t="s">
        <v>595</v>
      </c>
      <c r="D41" s="126">
        <v>91.9</v>
      </c>
      <c r="E41" s="124"/>
    </row>
    <row r="42" spans="2:5" ht="21.5">
      <c r="B42" s="124"/>
      <c r="C42" s="146" t="s">
        <v>594</v>
      </c>
      <c r="D42" s="126">
        <v>91.7</v>
      </c>
      <c r="E42" s="124"/>
    </row>
    <row r="43" spans="2:5" ht="21.5">
      <c r="B43" s="124"/>
      <c r="C43" s="146" t="s">
        <v>593</v>
      </c>
      <c r="D43" s="126">
        <v>95.2</v>
      </c>
      <c r="E43" s="124"/>
    </row>
    <row r="44" spans="2:5" ht="21.5">
      <c r="B44" s="124"/>
      <c r="C44" s="146" t="s">
        <v>592</v>
      </c>
      <c r="D44" s="126">
        <v>92</v>
      </c>
      <c r="E44" s="124"/>
    </row>
    <row r="45" spans="2:5" ht="21.5">
      <c r="B45" s="124"/>
      <c r="C45" s="146" t="s">
        <v>591</v>
      </c>
      <c r="D45" s="126">
        <v>89.4</v>
      </c>
      <c r="E45" s="124"/>
    </row>
    <row r="46" spans="2:5" ht="21.5">
      <c r="B46" s="124"/>
      <c r="C46" s="146" t="s">
        <v>590</v>
      </c>
      <c r="D46" s="126">
        <v>96.4</v>
      </c>
      <c r="E46" s="124"/>
    </row>
    <row r="47" spans="2:5" ht="21.5">
      <c r="B47" s="124"/>
      <c r="C47" s="146" t="s">
        <v>589</v>
      </c>
      <c r="D47" s="126">
        <v>89.5</v>
      </c>
      <c r="E47" s="124"/>
    </row>
    <row r="48" spans="2:5" ht="21.5">
      <c r="B48" s="124"/>
      <c r="C48" s="146" t="s">
        <v>588</v>
      </c>
      <c r="D48" s="126">
        <v>87.3</v>
      </c>
      <c r="E48" s="124"/>
    </row>
    <row r="49" spans="2:5" ht="21.5">
      <c r="B49" s="124"/>
      <c r="C49" s="146" t="s">
        <v>587</v>
      </c>
      <c r="D49" s="126">
        <v>89.9</v>
      </c>
      <c r="E49" s="124"/>
    </row>
    <row r="50" spans="2:5" ht="21.5">
      <c r="B50" s="124"/>
      <c r="C50" s="146" t="s">
        <v>586</v>
      </c>
      <c r="D50" s="126">
        <v>90.9</v>
      </c>
      <c r="E50" s="124"/>
    </row>
    <row r="51" spans="2:5" ht="21.5">
      <c r="B51" s="124"/>
      <c r="C51" s="146" t="s">
        <v>585</v>
      </c>
      <c r="D51" s="126">
        <v>86.8</v>
      </c>
      <c r="E51" s="124"/>
    </row>
    <row r="52" spans="2:5" ht="21.5">
      <c r="B52" s="124"/>
      <c r="C52" s="146" t="s">
        <v>584</v>
      </c>
      <c r="D52" s="126">
        <v>89.5</v>
      </c>
      <c r="E52" s="124"/>
    </row>
    <row r="53" spans="2:5" ht="22" thickBot="1">
      <c r="B53" s="124"/>
      <c r="C53" s="147" t="s">
        <v>583</v>
      </c>
      <c r="D53" s="125">
        <v>89.5</v>
      </c>
      <c r="E53" s="124"/>
    </row>
    <row r="54" spans="2:5" ht="21.5">
      <c r="B54" s="124"/>
      <c r="C54" t="s">
        <v>640</v>
      </c>
      <c r="D54">
        <v>99.7</v>
      </c>
      <c r="E54" s="124"/>
    </row>
    <row r="55" spans="2:5" ht="7.5" customHeight="1">
      <c r="C55" t="s">
        <v>641</v>
      </c>
      <c r="D55">
        <v>92.3</v>
      </c>
    </row>
    <row r="56" spans="2:5">
      <c r="C56" t="s">
        <v>642</v>
      </c>
      <c r="D56">
        <v>90</v>
      </c>
    </row>
    <row r="57" spans="2:5">
      <c r="C57" t="s">
        <v>643</v>
      </c>
      <c r="D57">
        <v>94.4</v>
      </c>
    </row>
    <row r="58" spans="2:5">
      <c r="C58" t="s">
        <v>644</v>
      </c>
      <c r="D58">
        <v>90.4</v>
      </c>
    </row>
    <row r="59" spans="2:5">
      <c r="C59" t="s">
        <v>645</v>
      </c>
      <c r="D59">
        <v>89.8</v>
      </c>
    </row>
    <row r="60" spans="2:5">
      <c r="C60" t="s">
        <v>646</v>
      </c>
      <c r="D60">
        <v>89.1</v>
      </c>
    </row>
    <row r="61" spans="2:5">
      <c r="C61" t="s">
        <v>647</v>
      </c>
      <c r="D61">
        <v>90</v>
      </c>
    </row>
    <row r="62" spans="2:5">
      <c r="C62" t="s">
        <v>648</v>
      </c>
      <c r="D62">
        <v>90.7</v>
      </c>
    </row>
    <row r="63" spans="2:5">
      <c r="C63" t="s">
        <v>649</v>
      </c>
      <c r="D63">
        <v>92.9</v>
      </c>
    </row>
    <row r="64" spans="2:5">
      <c r="C64" t="s">
        <v>650</v>
      </c>
      <c r="D64">
        <v>93</v>
      </c>
    </row>
    <row r="65" spans="3:4">
      <c r="C65" t="s">
        <v>651</v>
      </c>
      <c r="D65">
        <v>91.4</v>
      </c>
    </row>
    <row r="66" spans="3:4">
      <c r="C66" t="s">
        <v>652</v>
      </c>
      <c r="D66">
        <v>96.8</v>
      </c>
    </row>
    <row r="67" spans="3:4">
      <c r="C67" t="s">
        <v>653</v>
      </c>
      <c r="D67">
        <v>91</v>
      </c>
    </row>
    <row r="68" spans="3:4">
      <c r="C68" t="s">
        <v>654</v>
      </c>
      <c r="D68">
        <v>91.9</v>
      </c>
    </row>
    <row r="69" spans="3:4">
      <c r="C69" t="s">
        <v>655</v>
      </c>
      <c r="D69">
        <v>93.3</v>
      </c>
    </row>
    <row r="70" spans="3:4">
      <c r="C70" t="s">
        <v>656</v>
      </c>
      <c r="D70">
        <v>90.1</v>
      </c>
    </row>
    <row r="71" spans="3:4">
      <c r="C71" t="s">
        <v>657</v>
      </c>
      <c r="D71">
        <v>94.1</v>
      </c>
    </row>
    <row r="72" spans="3:4">
      <c r="C72" t="s">
        <v>658</v>
      </c>
      <c r="D72">
        <v>90.8</v>
      </c>
    </row>
    <row r="73" spans="3:4">
      <c r="C73" t="s">
        <v>659</v>
      </c>
      <c r="D73">
        <v>95.5</v>
      </c>
    </row>
    <row r="74" spans="3:4">
      <c r="C74" t="s">
        <v>660</v>
      </c>
      <c r="D74">
        <v>97.2</v>
      </c>
    </row>
    <row r="75" spans="3:4">
      <c r="C75" t="s">
        <v>661</v>
      </c>
      <c r="D75">
        <v>94.3</v>
      </c>
    </row>
    <row r="76" spans="3:4">
      <c r="C76" t="s">
        <v>662</v>
      </c>
      <c r="D76">
        <v>85.9</v>
      </c>
    </row>
    <row r="77" spans="3:4">
      <c r="C77" t="s">
        <v>663</v>
      </c>
      <c r="D77">
        <v>85.9</v>
      </c>
    </row>
    <row r="78" spans="3:4">
      <c r="C78" t="s">
        <v>664</v>
      </c>
      <c r="D78">
        <v>83.9</v>
      </c>
    </row>
    <row r="79" spans="3:4">
      <c r="C79" t="s">
        <v>665</v>
      </c>
      <c r="D79">
        <v>86.9</v>
      </c>
    </row>
    <row r="80" spans="3:4">
      <c r="C80" t="s">
        <v>666</v>
      </c>
      <c r="D80">
        <v>86.9</v>
      </c>
    </row>
    <row r="81" spans="3:4">
      <c r="C81" t="s">
        <v>667</v>
      </c>
      <c r="D81">
        <v>80.400000000000006</v>
      </c>
    </row>
    <row r="82" spans="3:4">
      <c r="C82" t="s">
        <v>668</v>
      </c>
      <c r="D82">
        <v>87.2</v>
      </c>
    </row>
    <row r="83" spans="3:4">
      <c r="C83" t="s">
        <v>669</v>
      </c>
      <c r="D83">
        <v>81.7</v>
      </c>
    </row>
    <row r="84" spans="3:4">
      <c r="C84" t="s">
        <v>670</v>
      </c>
      <c r="D84">
        <v>89</v>
      </c>
    </row>
    <row r="85" spans="3:4">
      <c r="C85" t="s">
        <v>671</v>
      </c>
      <c r="D85">
        <v>83.6</v>
      </c>
    </row>
    <row r="86" spans="3:4">
      <c r="C86" t="s">
        <v>672</v>
      </c>
      <c r="D86">
        <v>83.9</v>
      </c>
    </row>
    <row r="87" spans="3:4">
      <c r="C87" t="s">
        <v>673</v>
      </c>
      <c r="D87">
        <v>89.1</v>
      </c>
    </row>
    <row r="88" spans="3:4">
      <c r="C88" t="s">
        <v>674</v>
      </c>
      <c r="D88">
        <v>88.4</v>
      </c>
    </row>
    <row r="89" spans="3:4">
      <c r="C89" t="s">
        <v>675</v>
      </c>
      <c r="D89">
        <v>86.4</v>
      </c>
    </row>
    <row r="90" spans="3:4">
      <c r="C90" t="s">
        <v>676</v>
      </c>
      <c r="D90">
        <v>89.8</v>
      </c>
    </row>
    <row r="91" spans="3:4">
      <c r="C91" t="s">
        <v>677</v>
      </c>
      <c r="D91">
        <v>85.1</v>
      </c>
    </row>
    <row r="92" spans="3:4">
      <c r="C92" t="s">
        <v>678</v>
      </c>
      <c r="D92">
        <v>82.6</v>
      </c>
    </row>
    <row r="93" spans="3:4">
      <c r="C93" t="s">
        <v>679</v>
      </c>
      <c r="D93">
        <v>83.5</v>
      </c>
    </row>
    <row r="94" spans="3:4">
      <c r="C94" t="s">
        <v>680</v>
      </c>
      <c r="D94">
        <v>99.4</v>
      </c>
    </row>
    <row r="95" spans="3:4">
      <c r="C95" t="s">
        <v>681</v>
      </c>
      <c r="D95">
        <v>89.3</v>
      </c>
    </row>
    <row r="96" spans="3:4">
      <c r="C96" t="s">
        <v>682</v>
      </c>
      <c r="D96">
        <v>95.3</v>
      </c>
    </row>
    <row r="97" spans="3:4">
      <c r="C97" t="s">
        <v>683</v>
      </c>
      <c r="D97">
        <v>90.4</v>
      </c>
    </row>
    <row r="98" spans="3:4">
      <c r="C98" t="s">
        <v>684</v>
      </c>
      <c r="D98">
        <v>89.8</v>
      </c>
    </row>
    <row r="99" spans="3:4">
      <c r="C99" t="s">
        <v>685</v>
      </c>
      <c r="D99">
        <v>88.7</v>
      </c>
    </row>
    <row r="100" spans="3:4">
      <c r="C100" t="s">
        <v>686</v>
      </c>
      <c r="D100">
        <v>87</v>
      </c>
    </row>
    <row r="101" spans="3:4">
      <c r="C101" t="s">
        <v>687</v>
      </c>
      <c r="D101">
        <v>87.1</v>
      </c>
    </row>
    <row r="102" spans="3:4">
      <c r="C102" t="s">
        <v>688</v>
      </c>
      <c r="D102">
        <v>89.1</v>
      </c>
    </row>
    <row r="103" spans="3:4">
      <c r="C103" t="s">
        <v>689</v>
      </c>
      <c r="D103">
        <v>87.9</v>
      </c>
    </row>
    <row r="104" spans="3:4">
      <c r="C104" t="s">
        <v>690</v>
      </c>
      <c r="D104">
        <v>84.8</v>
      </c>
    </row>
    <row r="105" spans="3:4">
      <c r="C105" t="s">
        <v>691</v>
      </c>
      <c r="D105">
        <v>85.3</v>
      </c>
    </row>
    <row r="106" spans="3:4">
      <c r="C106" t="s">
        <v>692</v>
      </c>
      <c r="D106">
        <v>87.4</v>
      </c>
    </row>
    <row r="107" spans="3:4">
      <c r="C107" t="s">
        <v>693</v>
      </c>
      <c r="D107">
        <v>83.8</v>
      </c>
    </row>
    <row r="108" spans="3:4">
      <c r="C108" t="s">
        <v>694</v>
      </c>
      <c r="D108">
        <v>83.1</v>
      </c>
    </row>
    <row r="109" spans="3:4">
      <c r="C109" t="s">
        <v>695</v>
      </c>
      <c r="D109">
        <v>83.9</v>
      </c>
    </row>
    <row r="110" spans="3:4">
      <c r="C110" t="s">
        <v>696</v>
      </c>
      <c r="D110">
        <v>90.8</v>
      </c>
    </row>
    <row r="111" spans="3:4">
      <c r="C111" t="s">
        <v>697</v>
      </c>
      <c r="D111">
        <v>89</v>
      </c>
    </row>
    <row r="112" spans="3:4">
      <c r="C112" t="s">
        <v>698</v>
      </c>
      <c r="D112">
        <v>88.4</v>
      </c>
    </row>
    <row r="113" spans="3:4">
      <c r="C113" t="s">
        <v>699</v>
      </c>
      <c r="D113">
        <v>88.6</v>
      </c>
    </row>
    <row r="114" spans="3:4">
      <c r="C114" t="s">
        <v>700</v>
      </c>
      <c r="D114">
        <v>87.5</v>
      </c>
    </row>
    <row r="115" spans="3:4">
      <c r="C115" t="s">
        <v>701</v>
      </c>
      <c r="D115">
        <v>86.5</v>
      </c>
    </row>
    <row r="116" spans="3:4">
      <c r="C116" t="s">
        <v>702</v>
      </c>
      <c r="D116">
        <v>90</v>
      </c>
    </row>
    <row r="117" spans="3:4">
      <c r="C117" t="s">
        <v>703</v>
      </c>
      <c r="D117">
        <v>89.3</v>
      </c>
    </row>
    <row r="118" spans="3:4">
      <c r="C118" t="s">
        <v>704</v>
      </c>
      <c r="D118">
        <v>90</v>
      </c>
    </row>
    <row r="119" spans="3:4">
      <c r="C119" t="s">
        <v>705</v>
      </c>
      <c r="D119">
        <v>93.4</v>
      </c>
    </row>
    <row r="120" spans="3:4">
      <c r="C120" t="s">
        <v>706</v>
      </c>
      <c r="D120">
        <v>86.8</v>
      </c>
    </row>
    <row r="121" spans="3:4">
      <c r="C121" t="s">
        <v>707</v>
      </c>
      <c r="D121">
        <v>96.4</v>
      </c>
    </row>
    <row r="122" spans="3:4">
      <c r="C122" t="s">
        <v>708</v>
      </c>
      <c r="D122">
        <v>90.4</v>
      </c>
    </row>
    <row r="123" spans="3:4">
      <c r="C123" t="s">
        <v>709</v>
      </c>
      <c r="D123">
        <v>91.2</v>
      </c>
    </row>
    <row r="124" spans="3:4">
      <c r="C124" t="s">
        <v>710</v>
      </c>
      <c r="D124">
        <v>89.8</v>
      </c>
    </row>
    <row r="125" spans="3:4">
      <c r="C125" t="s">
        <v>711</v>
      </c>
      <c r="D125">
        <v>95</v>
      </c>
    </row>
    <row r="126" spans="3:4">
      <c r="C126" t="s">
        <v>712</v>
      </c>
      <c r="D126">
        <v>98.7</v>
      </c>
    </row>
    <row r="127" spans="3:4">
      <c r="C127" t="s">
        <v>713</v>
      </c>
      <c r="D127">
        <v>97.9</v>
      </c>
    </row>
    <row r="128" spans="3:4">
      <c r="C128" t="s">
        <v>714</v>
      </c>
      <c r="D128">
        <v>98.6</v>
      </c>
    </row>
    <row r="129" spans="3:4">
      <c r="C129" t="s">
        <v>715</v>
      </c>
      <c r="D129">
        <v>102.9</v>
      </c>
    </row>
    <row r="130" spans="3:4">
      <c r="C130" t="s">
        <v>716</v>
      </c>
      <c r="D130">
        <v>106.1</v>
      </c>
    </row>
    <row r="131" spans="3:4">
      <c r="C131" t="s">
        <v>717</v>
      </c>
      <c r="D131">
        <v>102.9</v>
      </c>
    </row>
    <row r="132" spans="3:4">
      <c r="C132" t="s">
        <v>718</v>
      </c>
      <c r="D132">
        <v>99.6</v>
      </c>
    </row>
    <row r="133" spans="3:4">
      <c r="C133" t="s">
        <v>719</v>
      </c>
      <c r="D133">
        <v>93.6</v>
      </c>
    </row>
    <row r="134" spans="3:4">
      <c r="C134" t="s">
        <v>720</v>
      </c>
      <c r="D134">
        <v>102.9</v>
      </c>
    </row>
    <row r="135" spans="3:4">
      <c r="C135" t="s">
        <v>721</v>
      </c>
      <c r="D135">
        <v>92.8</v>
      </c>
    </row>
    <row r="136" spans="3:4">
      <c r="C136" t="s">
        <v>722</v>
      </c>
      <c r="D136">
        <v>101.7</v>
      </c>
    </row>
    <row r="137" spans="3:4">
      <c r="C137" t="s">
        <v>723</v>
      </c>
      <c r="D137">
        <v>100.7</v>
      </c>
    </row>
    <row r="138" spans="3:4">
      <c r="C138" t="s">
        <v>724</v>
      </c>
      <c r="D138">
        <v>103.6</v>
      </c>
    </row>
    <row r="139" spans="3:4">
      <c r="C139" t="s">
        <v>725</v>
      </c>
      <c r="D139">
        <v>98.5</v>
      </c>
    </row>
    <row r="140" spans="3:4">
      <c r="C140" t="s">
        <v>726</v>
      </c>
      <c r="D140">
        <v>99.5</v>
      </c>
    </row>
    <row r="141" spans="3:4">
      <c r="C141" t="s">
        <v>727</v>
      </c>
      <c r="D141">
        <v>98.1</v>
      </c>
    </row>
    <row r="142" spans="3:4">
      <c r="C142" t="s">
        <v>728</v>
      </c>
      <c r="D142">
        <v>95.7</v>
      </c>
    </row>
    <row r="143" spans="3:4">
      <c r="C143" t="s">
        <v>729</v>
      </c>
      <c r="D143">
        <v>97.8</v>
      </c>
    </row>
    <row r="144" spans="3:4">
      <c r="C144" t="s">
        <v>730</v>
      </c>
      <c r="D144">
        <v>97.1</v>
      </c>
    </row>
    <row r="145" spans="3:4">
      <c r="C145" t="s">
        <v>731</v>
      </c>
      <c r="D145">
        <v>100</v>
      </c>
    </row>
    <row r="146" spans="3:4">
      <c r="C146" t="s">
        <v>732</v>
      </c>
      <c r="D146">
        <v>96.7</v>
      </c>
    </row>
    <row r="147" spans="3:4">
      <c r="C147" t="s">
        <v>733</v>
      </c>
      <c r="D147">
        <v>96.6</v>
      </c>
    </row>
    <row r="148" spans="3:4">
      <c r="C148" t="s">
        <v>734</v>
      </c>
      <c r="D148">
        <v>96.1</v>
      </c>
    </row>
    <row r="149" spans="3:4">
      <c r="C149" t="s">
        <v>735</v>
      </c>
      <c r="D149">
        <v>100.7</v>
      </c>
    </row>
    <row r="150" spans="3:4">
      <c r="C150" t="s">
        <v>736</v>
      </c>
      <c r="D150">
        <v>94.8</v>
      </c>
    </row>
    <row r="151" spans="3:4">
      <c r="C151" t="s">
        <v>737</v>
      </c>
      <c r="D151">
        <v>101.6</v>
      </c>
    </row>
    <row r="152" spans="3:4">
      <c r="C152" t="s">
        <v>738</v>
      </c>
      <c r="D152">
        <v>101.1</v>
      </c>
    </row>
    <row r="153" spans="3:4">
      <c r="C153" t="s">
        <v>739</v>
      </c>
      <c r="D153">
        <v>99.5</v>
      </c>
    </row>
    <row r="154" spans="3:4">
      <c r="C154" t="s">
        <v>740</v>
      </c>
      <c r="D154">
        <v>96.8</v>
      </c>
    </row>
    <row r="155" spans="3:4">
      <c r="C155" t="s">
        <v>741</v>
      </c>
      <c r="D155">
        <v>95.9</v>
      </c>
    </row>
    <row r="156" spans="3:4">
      <c r="C156" t="s">
        <v>742</v>
      </c>
      <c r="D156">
        <v>96</v>
      </c>
    </row>
    <row r="157" spans="3:4">
      <c r="C157" t="s">
        <v>743</v>
      </c>
      <c r="D157">
        <v>96.8</v>
      </c>
    </row>
    <row r="158" spans="3:4">
      <c r="C158" t="s">
        <v>744</v>
      </c>
      <c r="D158">
        <v>106.7</v>
      </c>
    </row>
    <row r="159" spans="3:4">
      <c r="C159" t="s">
        <v>745</v>
      </c>
      <c r="D159">
        <v>101.9</v>
      </c>
    </row>
    <row r="160" spans="3:4">
      <c r="C160" t="s">
        <v>746</v>
      </c>
      <c r="D160">
        <v>108.1</v>
      </c>
    </row>
    <row r="161" spans="3:4">
      <c r="C161" t="s">
        <v>747</v>
      </c>
      <c r="D161">
        <v>105.8</v>
      </c>
    </row>
    <row r="162" spans="3:4">
      <c r="C162" t="s">
        <v>748</v>
      </c>
      <c r="D162">
        <v>108</v>
      </c>
    </row>
    <row r="163" spans="3:4">
      <c r="C163" t="s">
        <v>749</v>
      </c>
      <c r="D163">
        <v>105.1</v>
      </c>
    </row>
    <row r="164" spans="3:4">
      <c r="C164" t="s">
        <v>750</v>
      </c>
      <c r="D164">
        <v>96.5</v>
      </c>
    </row>
    <row r="165" spans="3:4">
      <c r="C165" t="s">
        <v>751</v>
      </c>
      <c r="D165">
        <v>106.1</v>
      </c>
    </row>
    <row r="166" spans="3:4">
      <c r="C166" t="s">
        <v>752</v>
      </c>
      <c r="D166">
        <v>100.8</v>
      </c>
    </row>
    <row r="167" spans="3:4">
      <c r="C167" t="s">
        <v>753</v>
      </c>
      <c r="D167">
        <v>115</v>
      </c>
    </row>
    <row r="168" spans="3:4">
      <c r="C168" t="s">
        <v>754</v>
      </c>
      <c r="D168">
        <v>106.4</v>
      </c>
    </row>
    <row r="169" spans="3:4">
      <c r="C169" t="s">
        <v>755</v>
      </c>
      <c r="D169">
        <v>107.6</v>
      </c>
    </row>
    <row r="170" spans="3:4">
      <c r="C170" t="s">
        <v>756</v>
      </c>
      <c r="D170">
        <v>108.4</v>
      </c>
    </row>
    <row r="171" spans="3:4">
      <c r="C171" t="s">
        <v>757</v>
      </c>
      <c r="D171">
        <v>108.6</v>
      </c>
    </row>
    <row r="172" spans="3:4">
      <c r="C172" t="s">
        <v>758</v>
      </c>
      <c r="D172">
        <v>100.6</v>
      </c>
    </row>
    <row r="173" spans="3:4">
      <c r="C173" t="s">
        <v>759</v>
      </c>
      <c r="D173">
        <v>99.4</v>
      </c>
    </row>
    <row r="174" spans="3:4">
      <c r="C174" t="s">
        <v>760</v>
      </c>
      <c r="D174">
        <v>105.7</v>
      </c>
    </row>
    <row r="175" spans="3:4">
      <c r="C175" t="s">
        <v>761</v>
      </c>
      <c r="D175">
        <v>99.7</v>
      </c>
    </row>
    <row r="176" spans="3:4">
      <c r="C176" t="s">
        <v>762</v>
      </c>
      <c r="D176">
        <v>102.6</v>
      </c>
    </row>
    <row r="177" spans="3:4">
      <c r="C177" t="s">
        <v>763</v>
      </c>
      <c r="D177">
        <v>107.4</v>
      </c>
    </row>
    <row r="178" spans="3:4">
      <c r="C178" t="s">
        <v>764</v>
      </c>
      <c r="D178">
        <v>109.2</v>
      </c>
    </row>
    <row r="179" spans="3:4">
      <c r="C179" t="s">
        <v>765</v>
      </c>
      <c r="D179">
        <v>106.2</v>
      </c>
    </row>
    <row r="180" spans="3:4">
      <c r="C180" t="s">
        <v>766</v>
      </c>
      <c r="D180">
        <v>104.3</v>
      </c>
    </row>
    <row r="181" spans="3:4">
      <c r="C181" t="s">
        <v>767</v>
      </c>
      <c r="D181">
        <v>112.4</v>
      </c>
    </row>
    <row r="182" spans="3:4">
      <c r="C182" t="s">
        <v>768</v>
      </c>
      <c r="D182">
        <v>108.7</v>
      </c>
    </row>
    <row r="183" spans="3:4">
      <c r="C183" t="s">
        <v>769</v>
      </c>
      <c r="D183">
        <v>110.9</v>
      </c>
    </row>
    <row r="184" spans="3:4">
      <c r="C184" t="s">
        <v>770</v>
      </c>
      <c r="D184">
        <v>111.8</v>
      </c>
    </row>
    <row r="185" spans="3:4">
      <c r="C185" t="s">
        <v>771</v>
      </c>
      <c r="D185">
        <v>112.8</v>
      </c>
    </row>
    <row r="186" spans="3:4">
      <c r="C186" t="s">
        <v>772</v>
      </c>
      <c r="D186">
        <v>114.2</v>
      </c>
    </row>
    <row r="187" spans="3:4">
      <c r="C187" t="s">
        <v>773</v>
      </c>
      <c r="D187">
        <v>111.8</v>
      </c>
    </row>
    <row r="188" spans="3:4">
      <c r="C188" t="s">
        <v>774</v>
      </c>
      <c r="D188">
        <v>110.4</v>
      </c>
    </row>
    <row r="189" spans="3:4">
      <c r="C189" t="s">
        <v>775</v>
      </c>
      <c r="D189">
        <v>110.1</v>
      </c>
    </row>
    <row r="190" spans="3:4">
      <c r="C190" t="s">
        <v>776</v>
      </c>
      <c r="D190">
        <v>113.6</v>
      </c>
    </row>
    <row r="191" spans="3:4">
      <c r="C191" t="s">
        <v>777</v>
      </c>
      <c r="D191">
        <v>109.9</v>
      </c>
    </row>
    <row r="192" spans="3:4">
      <c r="C192" t="s">
        <v>778</v>
      </c>
      <c r="D192">
        <v>107.8</v>
      </c>
    </row>
    <row r="193" spans="3:4">
      <c r="C193" t="s">
        <v>779</v>
      </c>
      <c r="D193">
        <v>107.8</v>
      </c>
    </row>
    <row r="194" spans="3:4">
      <c r="C194" t="s">
        <v>780</v>
      </c>
      <c r="D194">
        <v>107.5</v>
      </c>
    </row>
    <row r="195" spans="3:4">
      <c r="C195" t="s">
        <v>781</v>
      </c>
      <c r="D195">
        <v>110.3</v>
      </c>
    </row>
    <row r="196" spans="3:4">
      <c r="C196" t="s">
        <v>782</v>
      </c>
      <c r="D196">
        <v>109.5</v>
      </c>
    </row>
    <row r="197" spans="3:4">
      <c r="C197" t="s">
        <v>783</v>
      </c>
      <c r="D197">
        <v>108.3</v>
      </c>
    </row>
    <row r="198" spans="3:4">
      <c r="C198" t="s">
        <v>784</v>
      </c>
      <c r="D198">
        <v>112.3</v>
      </c>
    </row>
    <row r="199" spans="3:4">
      <c r="C199" t="s">
        <v>785</v>
      </c>
      <c r="D199">
        <v>108.6</v>
      </c>
    </row>
    <row r="200" spans="3:4">
      <c r="C200" t="s">
        <v>786</v>
      </c>
      <c r="D200">
        <v>110.7</v>
      </c>
    </row>
    <row r="201" spans="3:4">
      <c r="C201" t="s">
        <v>787</v>
      </c>
      <c r="D201">
        <v>106.4</v>
      </c>
    </row>
    <row r="202" spans="3:4">
      <c r="C202" t="s">
        <v>788</v>
      </c>
      <c r="D202">
        <v>106.8</v>
      </c>
    </row>
    <row r="203" spans="3:4">
      <c r="C203" t="s">
        <v>789</v>
      </c>
      <c r="D203">
        <v>104.5</v>
      </c>
    </row>
    <row r="204" spans="3:4">
      <c r="C204" t="s">
        <v>790</v>
      </c>
      <c r="D204">
        <v>109.1</v>
      </c>
    </row>
    <row r="205" spans="3:4">
      <c r="C205" t="s">
        <v>791</v>
      </c>
      <c r="D205">
        <v>110.5</v>
      </c>
    </row>
    <row r="206" spans="3:4">
      <c r="C206" t="s">
        <v>792</v>
      </c>
      <c r="D206">
        <v>106.9</v>
      </c>
    </row>
    <row r="207" spans="3:4">
      <c r="C207" t="s">
        <v>793</v>
      </c>
      <c r="D207">
        <v>106</v>
      </c>
    </row>
    <row r="208" spans="3:4">
      <c r="C208" t="s">
        <v>794</v>
      </c>
      <c r="D208">
        <v>110.1</v>
      </c>
    </row>
    <row r="209" spans="3:4">
      <c r="C209" t="s">
        <v>795</v>
      </c>
      <c r="D209">
        <v>109.9</v>
      </c>
    </row>
    <row r="210" spans="3:4">
      <c r="C210" t="s">
        <v>796</v>
      </c>
      <c r="D210">
        <v>111.4</v>
      </c>
    </row>
    <row r="211" spans="3:4">
      <c r="C211" t="s">
        <v>797</v>
      </c>
      <c r="D211">
        <v>106.9</v>
      </c>
    </row>
    <row r="212" spans="3:4">
      <c r="C212" t="s">
        <v>798</v>
      </c>
      <c r="D212">
        <v>98.1</v>
      </c>
    </row>
    <row r="213" spans="3:4">
      <c r="C213" t="s">
        <v>799</v>
      </c>
      <c r="D213">
        <v>93.3</v>
      </c>
    </row>
    <row r="214" spans="3:4">
      <c r="C214" t="s">
        <v>800</v>
      </c>
      <c r="D214">
        <v>93.7</v>
      </c>
    </row>
    <row r="215" spans="3:4">
      <c r="C215" t="s">
        <v>801</v>
      </c>
      <c r="D215">
        <v>93.5</v>
      </c>
    </row>
    <row r="216" spans="3:4">
      <c r="C216" t="s">
        <v>802</v>
      </c>
      <c r="D216">
        <v>92.7</v>
      </c>
    </row>
    <row r="217" spans="3:4">
      <c r="C217" t="s">
        <v>803</v>
      </c>
      <c r="D217">
        <v>93.4</v>
      </c>
    </row>
    <row r="218" spans="3:4">
      <c r="C218" t="s">
        <v>804</v>
      </c>
      <c r="D218">
        <v>93.2</v>
      </c>
    </row>
    <row r="219" spans="3:4">
      <c r="C219" t="s">
        <v>805</v>
      </c>
      <c r="D219">
        <v>87.5</v>
      </c>
    </row>
    <row r="220" spans="3:4">
      <c r="C220" t="s">
        <v>806</v>
      </c>
      <c r="D220">
        <v>91.4</v>
      </c>
    </row>
    <row r="221" spans="3:4">
      <c r="C221" t="s">
        <v>807</v>
      </c>
      <c r="D221">
        <v>92.1</v>
      </c>
    </row>
    <row r="222" spans="3:4">
      <c r="C222" t="s">
        <v>808</v>
      </c>
      <c r="D222">
        <v>94.1</v>
      </c>
    </row>
    <row r="223" spans="3:4">
      <c r="C223" t="s">
        <v>809</v>
      </c>
      <c r="D223">
        <v>85.9</v>
      </c>
    </row>
    <row r="224" spans="3:4">
      <c r="C224" t="s">
        <v>810</v>
      </c>
      <c r="D224">
        <v>88.6</v>
      </c>
    </row>
    <row r="225" spans="3:4">
      <c r="C225" t="s">
        <v>811</v>
      </c>
      <c r="D225">
        <v>97.2</v>
      </c>
    </row>
    <row r="226" spans="3:4">
      <c r="C226" t="s">
        <v>812</v>
      </c>
      <c r="D226">
        <v>96.5</v>
      </c>
    </row>
    <row r="227" spans="3:4">
      <c r="C227" t="s">
        <v>813</v>
      </c>
      <c r="D227">
        <v>94.4</v>
      </c>
    </row>
    <row r="228" spans="3:4">
      <c r="C228" t="s">
        <v>814</v>
      </c>
      <c r="D228">
        <v>93.9</v>
      </c>
    </row>
    <row r="229" spans="3:4">
      <c r="C229" t="s">
        <v>815</v>
      </c>
      <c r="D229">
        <v>93.8</v>
      </c>
    </row>
    <row r="230" spans="3:4">
      <c r="C230" t="s">
        <v>816</v>
      </c>
      <c r="D230">
        <v>97</v>
      </c>
    </row>
    <row r="231" spans="3:4">
      <c r="C231" t="s">
        <v>817</v>
      </c>
      <c r="D231">
        <v>98.8</v>
      </c>
    </row>
    <row r="232" spans="3:4">
      <c r="C232" t="s">
        <v>818</v>
      </c>
      <c r="D232">
        <v>94.8</v>
      </c>
    </row>
    <row r="233" spans="3:4">
      <c r="C233" t="s">
        <v>819</v>
      </c>
      <c r="D233">
        <v>93.2</v>
      </c>
    </row>
    <row r="234" spans="3:4">
      <c r="C234" t="s">
        <v>820</v>
      </c>
      <c r="D234">
        <v>97.6</v>
      </c>
    </row>
    <row r="235" spans="3:4">
      <c r="C235" t="s">
        <v>821</v>
      </c>
      <c r="D235">
        <v>97.1</v>
      </c>
    </row>
    <row r="236" spans="3:4">
      <c r="C236" t="s">
        <v>822</v>
      </c>
      <c r="D236">
        <v>87.9</v>
      </c>
    </row>
    <row r="237" spans="3:4">
      <c r="C237" t="s">
        <v>823</v>
      </c>
      <c r="D237">
        <v>97.7</v>
      </c>
    </row>
    <row r="238" spans="3:4">
      <c r="C238" t="s">
        <v>824</v>
      </c>
      <c r="D238">
        <v>96.7</v>
      </c>
    </row>
    <row r="239" spans="3:4">
      <c r="C239" t="s">
        <v>825</v>
      </c>
      <c r="D239">
        <v>91.5</v>
      </c>
    </row>
    <row r="240" spans="3:4">
      <c r="C240" t="s">
        <v>826</v>
      </c>
      <c r="D240">
        <v>98.6</v>
      </c>
    </row>
    <row r="241" spans="3:4">
      <c r="C241" t="s">
        <v>827</v>
      </c>
      <c r="D241">
        <v>96</v>
      </c>
    </row>
    <row r="242" spans="3:4">
      <c r="C242" t="s">
        <v>828</v>
      </c>
      <c r="D242">
        <v>96.2</v>
      </c>
    </row>
    <row r="243" spans="3:4">
      <c r="C243" t="s">
        <v>829</v>
      </c>
      <c r="D243">
        <v>99.3</v>
      </c>
    </row>
    <row r="244" spans="3:4">
      <c r="C244" t="s">
        <v>830</v>
      </c>
      <c r="D244">
        <v>96.7</v>
      </c>
    </row>
    <row r="245" spans="3:4">
      <c r="C245" t="s">
        <v>831</v>
      </c>
      <c r="D245">
        <v>99.1</v>
      </c>
    </row>
    <row r="246" spans="3:4">
      <c r="C246" t="s">
        <v>832</v>
      </c>
      <c r="D246">
        <v>97.8</v>
      </c>
    </row>
    <row r="247" spans="3:4">
      <c r="C247" t="s">
        <v>833</v>
      </c>
      <c r="D247">
        <v>100.3</v>
      </c>
    </row>
    <row r="248" spans="3:4">
      <c r="C248" t="s">
        <v>834</v>
      </c>
      <c r="D248">
        <v>97.3</v>
      </c>
    </row>
    <row r="249" spans="3:4">
      <c r="C249" t="s">
        <v>835</v>
      </c>
      <c r="D249">
        <v>96.5</v>
      </c>
    </row>
    <row r="250" spans="3:4">
      <c r="C250" t="s">
        <v>836</v>
      </c>
      <c r="D250">
        <v>95.7</v>
      </c>
    </row>
    <row r="251" spans="3:4">
      <c r="C251" t="s">
        <v>837</v>
      </c>
      <c r="D251">
        <v>96</v>
      </c>
    </row>
    <row r="252" spans="3:4">
      <c r="C252" t="s">
        <v>838</v>
      </c>
      <c r="D252">
        <v>98.9</v>
      </c>
    </row>
    <row r="253" spans="3:4">
      <c r="C253" t="s">
        <v>839</v>
      </c>
      <c r="D253">
        <v>96.7</v>
      </c>
    </row>
    <row r="254" spans="3:4">
      <c r="C254" t="s">
        <v>840</v>
      </c>
      <c r="D254">
        <v>94.4</v>
      </c>
    </row>
    <row r="255" spans="3:4">
      <c r="C255" t="s">
        <v>841</v>
      </c>
      <c r="D255">
        <v>94.2</v>
      </c>
    </row>
    <row r="256" spans="3:4">
      <c r="C256" t="s">
        <v>842</v>
      </c>
      <c r="D256">
        <v>98.2</v>
      </c>
    </row>
    <row r="257" spans="3:4">
      <c r="C257" t="s">
        <v>843</v>
      </c>
      <c r="D257">
        <v>95.9</v>
      </c>
    </row>
    <row r="258" spans="3:4">
      <c r="C258" t="s">
        <v>844</v>
      </c>
      <c r="D258">
        <v>94.7</v>
      </c>
    </row>
    <row r="259" spans="3:4">
      <c r="C259" t="s">
        <v>845</v>
      </c>
      <c r="D259">
        <v>97.7</v>
      </c>
    </row>
    <row r="260" spans="3:4">
      <c r="C260" t="s">
        <v>846</v>
      </c>
      <c r="D260">
        <v>101.5</v>
      </c>
    </row>
    <row r="261" spans="3:4">
      <c r="C261" t="s">
        <v>847</v>
      </c>
      <c r="D261">
        <v>99.9</v>
      </c>
    </row>
    <row r="262" spans="3:4">
      <c r="C262" t="s">
        <v>848</v>
      </c>
      <c r="D262">
        <v>102.3</v>
      </c>
    </row>
    <row r="263" spans="3:4">
      <c r="C263" t="s">
        <v>849</v>
      </c>
      <c r="D263">
        <v>98.5</v>
      </c>
    </row>
    <row r="264" spans="3:4">
      <c r="C264" t="s">
        <v>850</v>
      </c>
      <c r="D264">
        <v>96.9</v>
      </c>
    </row>
    <row r="265" spans="3:4">
      <c r="C265" t="s">
        <v>851</v>
      </c>
      <c r="D265">
        <v>99.2</v>
      </c>
    </row>
    <row r="266" spans="3:4">
      <c r="C266" t="s">
        <v>852</v>
      </c>
      <c r="D266">
        <v>97.8</v>
      </c>
    </row>
    <row r="267" spans="3:4">
      <c r="C267" t="s">
        <v>853</v>
      </c>
      <c r="D267">
        <v>95.6</v>
      </c>
    </row>
    <row r="268" spans="3:4">
      <c r="C268" t="s">
        <v>854</v>
      </c>
      <c r="D268">
        <v>100.7</v>
      </c>
    </row>
    <row r="269" spans="3:4">
      <c r="C269" t="s">
        <v>855</v>
      </c>
      <c r="D269">
        <v>101.7</v>
      </c>
    </row>
    <row r="270" spans="3:4">
      <c r="C270" t="s">
        <v>856</v>
      </c>
      <c r="D270">
        <v>101.9</v>
      </c>
    </row>
    <row r="271" spans="3:4">
      <c r="C271" t="s">
        <v>857</v>
      </c>
      <c r="D271">
        <v>99.8</v>
      </c>
    </row>
    <row r="272" spans="3:4">
      <c r="C272" t="s">
        <v>858</v>
      </c>
      <c r="D272">
        <v>101.8</v>
      </c>
    </row>
    <row r="273" spans="3:4">
      <c r="C273" t="s">
        <v>859</v>
      </c>
      <c r="D273">
        <v>99.5</v>
      </c>
    </row>
    <row r="274" spans="3:4">
      <c r="C274" t="s">
        <v>860</v>
      </c>
      <c r="D274">
        <v>97.5</v>
      </c>
    </row>
    <row r="275" spans="3:4">
      <c r="C275" t="s">
        <v>861</v>
      </c>
      <c r="D275">
        <v>98.7</v>
      </c>
    </row>
    <row r="276" spans="3:4">
      <c r="C276" t="s">
        <v>862</v>
      </c>
      <c r="D276">
        <v>99.5</v>
      </c>
    </row>
    <row r="277" spans="3:4">
      <c r="C277" t="s">
        <v>863</v>
      </c>
      <c r="D277">
        <v>99.2</v>
      </c>
    </row>
    <row r="278" spans="3:4">
      <c r="C278" t="s">
        <v>864</v>
      </c>
      <c r="D278">
        <v>98.2</v>
      </c>
    </row>
    <row r="279" spans="3:4">
      <c r="C279" t="s">
        <v>865</v>
      </c>
      <c r="D279">
        <v>100</v>
      </c>
    </row>
    <row r="280" spans="3:4">
      <c r="C280" t="s">
        <v>866</v>
      </c>
      <c r="D280">
        <v>106.9</v>
      </c>
    </row>
    <row r="281" spans="3:4">
      <c r="C281" t="s">
        <v>867</v>
      </c>
      <c r="D281">
        <v>105.5</v>
      </c>
    </row>
    <row r="282" spans="3:4">
      <c r="C282" t="s">
        <v>868</v>
      </c>
      <c r="D282">
        <v>104.8</v>
      </c>
    </row>
    <row r="283" spans="3:4">
      <c r="C283" t="s">
        <v>869</v>
      </c>
      <c r="D283">
        <v>104.4</v>
      </c>
    </row>
    <row r="284" spans="3:4">
      <c r="C284" t="s">
        <v>870</v>
      </c>
      <c r="D284">
        <v>102.8</v>
      </c>
    </row>
    <row r="285" spans="3:4">
      <c r="C285" t="s">
        <v>871</v>
      </c>
      <c r="D285">
        <v>104.2</v>
      </c>
    </row>
    <row r="286" spans="3:4">
      <c r="C286" t="s">
        <v>872</v>
      </c>
      <c r="D286">
        <v>102.2</v>
      </c>
    </row>
    <row r="287" spans="3:4">
      <c r="C287" t="s">
        <v>873</v>
      </c>
      <c r="D287">
        <v>101</v>
      </c>
    </row>
    <row r="288" spans="3:4">
      <c r="C288" t="s">
        <v>874</v>
      </c>
      <c r="D288">
        <v>101.7</v>
      </c>
    </row>
    <row r="289" spans="3:4">
      <c r="C289" t="s">
        <v>875</v>
      </c>
      <c r="D289">
        <v>102.8</v>
      </c>
    </row>
    <row r="290" spans="3:4">
      <c r="C290" t="s">
        <v>876</v>
      </c>
      <c r="D290">
        <v>102.4</v>
      </c>
    </row>
    <row r="291" spans="3:4">
      <c r="C291" t="s">
        <v>877</v>
      </c>
      <c r="D291">
        <v>101</v>
      </c>
    </row>
    <row r="292" spans="3:4">
      <c r="C292" t="s">
        <v>878</v>
      </c>
      <c r="D292">
        <v>103.2</v>
      </c>
    </row>
    <row r="293" spans="3:4">
      <c r="C293" t="s">
        <v>879</v>
      </c>
      <c r="D293">
        <v>100</v>
      </c>
    </row>
    <row r="294" spans="3:4">
      <c r="C294" t="s">
        <v>880</v>
      </c>
      <c r="D294">
        <v>97.2</v>
      </c>
    </row>
    <row r="295" spans="3:4">
      <c r="C295" t="s">
        <v>881</v>
      </c>
      <c r="D295">
        <v>105.1</v>
      </c>
    </row>
    <row r="296" spans="3:4">
      <c r="C296" t="s">
        <v>882</v>
      </c>
      <c r="D296">
        <v>102.1</v>
      </c>
    </row>
    <row r="297" spans="3:4">
      <c r="C297" t="s">
        <v>883</v>
      </c>
      <c r="D297">
        <v>96.2</v>
      </c>
    </row>
    <row r="298" spans="3:4">
      <c r="C298" t="s">
        <v>884</v>
      </c>
      <c r="D298">
        <v>95.6</v>
      </c>
    </row>
    <row r="299" spans="3:4">
      <c r="C299" t="s">
        <v>885</v>
      </c>
      <c r="D299">
        <v>97.5</v>
      </c>
    </row>
    <row r="300" spans="3:4">
      <c r="C300" t="s">
        <v>886</v>
      </c>
      <c r="D300">
        <v>100.8</v>
      </c>
    </row>
    <row r="301" spans="3:4">
      <c r="C301" t="s">
        <v>887</v>
      </c>
      <c r="D301">
        <v>99.6</v>
      </c>
    </row>
    <row r="302" spans="3:4">
      <c r="C302" t="s">
        <v>888</v>
      </c>
      <c r="D302">
        <v>90.1</v>
      </c>
    </row>
    <row r="303" spans="3:4">
      <c r="C303" t="s">
        <v>889</v>
      </c>
      <c r="D303">
        <v>100.4</v>
      </c>
    </row>
    <row r="304" spans="3:4">
      <c r="C304" t="s">
        <v>890</v>
      </c>
      <c r="D304">
        <v>98.9</v>
      </c>
    </row>
    <row r="305" spans="3:4">
      <c r="C305" t="s">
        <v>891</v>
      </c>
      <c r="D305">
        <v>96</v>
      </c>
    </row>
    <row r="306" spans="3:4">
      <c r="C306" t="s">
        <v>892</v>
      </c>
      <c r="D306">
        <v>97.8</v>
      </c>
    </row>
    <row r="307" spans="3:4">
      <c r="C307" t="s">
        <v>893</v>
      </c>
      <c r="D307">
        <v>98.9</v>
      </c>
    </row>
    <row r="308" spans="3:4">
      <c r="C308" t="s">
        <v>894</v>
      </c>
      <c r="D308">
        <v>98.1</v>
      </c>
    </row>
    <row r="309" spans="3:4">
      <c r="C309" t="s">
        <v>895</v>
      </c>
      <c r="D309">
        <v>100.9</v>
      </c>
    </row>
    <row r="310" spans="3:4">
      <c r="C310" t="s">
        <v>896</v>
      </c>
      <c r="D310">
        <v>100.8</v>
      </c>
    </row>
    <row r="311" spans="3:4">
      <c r="C311" t="s">
        <v>897</v>
      </c>
      <c r="D311">
        <v>103.2</v>
      </c>
    </row>
    <row r="312" spans="3:4">
      <c r="C312" t="s">
        <v>898</v>
      </c>
      <c r="D312">
        <v>102.2</v>
      </c>
    </row>
    <row r="313" spans="3:4">
      <c r="C313" t="s">
        <v>899</v>
      </c>
      <c r="D313">
        <v>104</v>
      </c>
    </row>
    <row r="314" spans="3:4">
      <c r="C314" t="s">
        <v>900</v>
      </c>
      <c r="D314">
        <v>98.7</v>
      </c>
    </row>
    <row r="315" spans="3:4">
      <c r="C315" t="s">
        <v>901</v>
      </c>
      <c r="D315">
        <v>98.2</v>
      </c>
    </row>
    <row r="316" spans="3:4">
      <c r="C316" t="s">
        <v>902</v>
      </c>
      <c r="D316">
        <v>93.7</v>
      </c>
    </row>
    <row r="317" spans="3:4">
      <c r="C317" t="s">
        <v>903</v>
      </c>
      <c r="D317">
        <v>103.2</v>
      </c>
    </row>
    <row r="318" spans="3:4">
      <c r="C318" t="s">
        <v>904</v>
      </c>
      <c r="D318">
        <v>106.8</v>
      </c>
    </row>
    <row r="319" spans="3:4">
      <c r="C319" t="s">
        <v>905</v>
      </c>
      <c r="D319">
        <v>108.6</v>
      </c>
    </row>
    <row r="320" spans="3:4">
      <c r="C320" t="s">
        <v>906</v>
      </c>
      <c r="D320">
        <v>108</v>
      </c>
    </row>
    <row r="321" spans="3:4">
      <c r="C321" t="s">
        <v>907</v>
      </c>
      <c r="D321">
        <v>105.9</v>
      </c>
    </row>
    <row r="322" spans="3:4">
      <c r="C322" t="s">
        <v>908</v>
      </c>
      <c r="D322">
        <v>106.2</v>
      </c>
    </row>
    <row r="323" spans="3:4">
      <c r="C323" t="s">
        <v>909</v>
      </c>
      <c r="D323">
        <v>108.4</v>
      </c>
    </row>
    <row r="324" spans="3:4">
      <c r="C324" t="s">
        <v>910</v>
      </c>
      <c r="D324">
        <v>106.2</v>
      </c>
    </row>
    <row r="325" spans="3:4">
      <c r="C325" t="s">
        <v>911</v>
      </c>
      <c r="D325">
        <v>104.8</v>
      </c>
    </row>
    <row r="326" spans="3:4">
      <c r="C326" t="s">
        <v>912</v>
      </c>
      <c r="D326">
        <v>105.3</v>
      </c>
    </row>
    <row r="327" spans="3:4">
      <c r="C327" t="s">
        <v>913</v>
      </c>
      <c r="D327">
        <v>104.9</v>
      </c>
    </row>
    <row r="328" spans="3:4">
      <c r="C328" t="s">
        <v>914</v>
      </c>
      <c r="D328">
        <v>106.9</v>
      </c>
    </row>
    <row r="329" spans="3:4">
      <c r="C329" t="s">
        <v>915</v>
      </c>
      <c r="D329">
        <v>107.3</v>
      </c>
    </row>
    <row r="330" spans="3:4">
      <c r="C330" t="s">
        <v>916</v>
      </c>
      <c r="D330">
        <v>105.1</v>
      </c>
    </row>
    <row r="331" spans="3:4">
      <c r="C331" t="s">
        <v>917</v>
      </c>
      <c r="D331">
        <v>106.9</v>
      </c>
    </row>
    <row r="332" spans="3:4">
      <c r="C332" t="s">
        <v>918</v>
      </c>
      <c r="D332">
        <v>103.2</v>
      </c>
    </row>
    <row r="333" spans="3:4">
      <c r="C333" t="s">
        <v>919</v>
      </c>
      <c r="D333">
        <v>106.5</v>
      </c>
    </row>
    <row r="334" spans="3:4">
      <c r="C334" t="s">
        <v>920</v>
      </c>
      <c r="D334">
        <v>103</v>
      </c>
    </row>
    <row r="335" spans="3:4">
      <c r="C335" t="s">
        <v>921</v>
      </c>
      <c r="D335">
        <v>108.4</v>
      </c>
    </row>
    <row r="336" spans="3:4">
      <c r="C336" t="s">
        <v>922</v>
      </c>
      <c r="D336">
        <v>105.1</v>
      </c>
    </row>
    <row r="337" spans="3:4">
      <c r="C337" t="s">
        <v>923</v>
      </c>
      <c r="D337">
        <v>105.8</v>
      </c>
    </row>
    <row r="338" spans="3:4">
      <c r="C338" t="s">
        <v>924</v>
      </c>
      <c r="D338">
        <v>100.1</v>
      </c>
    </row>
    <row r="339" spans="3:4">
      <c r="C339" t="s">
        <v>925</v>
      </c>
      <c r="D339">
        <v>101.1</v>
      </c>
    </row>
    <row r="340" spans="3:4">
      <c r="C340" t="s">
        <v>926</v>
      </c>
      <c r="D340">
        <v>102.6</v>
      </c>
    </row>
    <row r="341" spans="3:4">
      <c r="C341" t="s">
        <v>927</v>
      </c>
      <c r="D341">
        <v>101.9</v>
      </c>
    </row>
    <row r="342" spans="3:4">
      <c r="C342" t="s">
        <v>928</v>
      </c>
      <c r="D342">
        <v>96.8</v>
      </c>
    </row>
    <row r="343" spans="3:4">
      <c r="C343" t="s">
        <v>929</v>
      </c>
      <c r="D343">
        <v>99</v>
      </c>
    </row>
    <row r="344" spans="3:4">
      <c r="C344" t="s">
        <v>930</v>
      </c>
      <c r="D344">
        <v>95.4</v>
      </c>
    </row>
    <row r="345" spans="3:4">
      <c r="C345" t="s">
        <v>931</v>
      </c>
      <c r="D345">
        <v>99.3</v>
      </c>
    </row>
    <row r="346" spans="3:4">
      <c r="C346" t="s">
        <v>932</v>
      </c>
      <c r="D346">
        <v>101.7</v>
      </c>
    </row>
    <row r="347" spans="3:4">
      <c r="C347" t="s">
        <v>933</v>
      </c>
      <c r="D347">
        <v>98.6</v>
      </c>
    </row>
    <row r="348" spans="3:4">
      <c r="C348" t="s">
        <v>934</v>
      </c>
      <c r="D348">
        <v>107.4</v>
      </c>
    </row>
    <row r="349" spans="3:4">
      <c r="C349" t="s">
        <v>935</v>
      </c>
      <c r="D349">
        <v>100.6</v>
      </c>
    </row>
    <row r="350" spans="3:4">
      <c r="C350" t="s">
        <v>936</v>
      </c>
      <c r="D350">
        <v>98.3</v>
      </c>
    </row>
    <row r="351" spans="3:4">
      <c r="C351" t="s">
        <v>937</v>
      </c>
      <c r="D351">
        <v>96.4</v>
      </c>
    </row>
    <row r="352" spans="3:4">
      <c r="C352" t="s">
        <v>938</v>
      </c>
      <c r="D352">
        <v>98.9</v>
      </c>
    </row>
    <row r="353" spans="3:4">
      <c r="C353" t="s">
        <v>939</v>
      </c>
      <c r="D353">
        <v>95</v>
      </c>
    </row>
    <row r="354" spans="3:4">
      <c r="C354" t="s">
        <v>940</v>
      </c>
      <c r="D354">
        <v>93.9</v>
      </c>
    </row>
    <row r="355" spans="3:4">
      <c r="C355" t="s">
        <v>941</v>
      </c>
      <c r="D355">
        <v>91.8</v>
      </c>
    </row>
    <row r="356" spans="3:4">
      <c r="C356" t="s">
        <v>942</v>
      </c>
      <c r="D356">
        <v>90.6</v>
      </c>
    </row>
    <row r="357" spans="3:4">
      <c r="C357" t="s">
        <v>943</v>
      </c>
      <c r="D357">
        <v>94.3</v>
      </c>
    </row>
    <row r="358" spans="3:4">
      <c r="C358" t="s">
        <v>944</v>
      </c>
      <c r="D358">
        <v>94.2</v>
      </c>
    </row>
    <row r="359" spans="3:4">
      <c r="C359" t="s">
        <v>945</v>
      </c>
      <c r="D359">
        <v>92</v>
      </c>
    </row>
    <row r="360" spans="3:4">
      <c r="C360" t="s">
        <v>946</v>
      </c>
      <c r="D360">
        <v>89.1</v>
      </c>
    </row>
    <row r="361" spans="3:4">
      <c r="C361" t="s">
        <v>947</v>
      </c>
      <c r="D361">
        <v>90.1</v>
      </c>
    </row>
    <row r="362" spans="3:4">
      <c r="C362" t="s">
        <v>948</v>
      </c>
      <c r="D362">
        <v>88.9</v>
      </c>
    </row>
    <row r="363" spans="3:4">
      <c r="C363" t="s">
        <v>949</v>
      </c>
      <c r="D363">
        <v>88.2</v>
      </c>
    </row>
    <row r="364" spans="3:4">
      <c r="C364" t="s">
        <v>950</v>
      </c>
      <c r="D364">
        <v>85.9</v>
      </c>
    </row>
    <row r="365" spans="3:4">
      <c r="C365" t="s">
        <v>951</v>
      </c>
      <c r="D365">
        <v>89.4</v>
      </c>
    </row>
    <row r="366" spans="3:4">
      <c r="C366" t="s">
        <v>952</v>
      </c>
      <c r="D366">
        <v>87.5</v>
      </c>
    </row>
    <row r="367" spans="3:4">
      <c r="C367" t="s">
        <v>953</v>
      </c>
      <c r="D367">
        <v>86.4</v>
      </c>
    </row>
    <row r="368" spans="3:4">
      <c r="C368" t="s">
        <v>954</v>
      </c>
      <c r="D368">
        <v>84.7</v>
      </c>
    </row>
    <row r="369" spans="3:4">
      <c r="C369" t="s">
        <v>955</v>
      </c>
      <c r="D369">
        <v>98.4</v>
      </c>
    </row>
    <row r="370" spans="3:4">
      <c r="C370" t="s">
        <v>956</v>
      </c>
      <c r="D370">
        <v>91.2</v>
      </c>
    </row>
    <row r="371" spans="3:4">
      <c r="C371" t="s">
        <v>957</v>
      </c>
      <c r="D371">
        <v>95.5</v>
      </c>
    </row>
    <row r="372" spans="3:4">
      <c r="C372" t="s">
        <v>958</v>
      </c>
      <c r="D372">
        <v>92.4</v>
      </c>
    </row>
    <row r="373" spans="3:4">
      <c r="C373" t="s">
        <v>959</v>
      </c>
      <c r="D373">
        <v>95.8</v>
      </c>
    </row>
    <row r="374" spans="3:4">
      <c r="C374" t="s">
        <v>960</v>
      </c>
      <c r="D374">
        <v>91.7</v>
      </c>
    </row>
    <row r="375" spans="3:4">
      <c r="C375" t="s">
        <v>961</v>
      </c>
      <c r="D375">
        <v>93.6</v>
      </c>
    </row>
    <row r="376" spans="3:4">
      <c r="C376" t="s">
        <v>962</v>
      </c>
      <c r="D376">
        <v>96.5</v>
      </c>
    </row>
    <row r="377" spans="3:4">
      <c r="C377" t="s">
        <v>963</v>
      </c>
      <c r="D377">
        <v>99.5</v>
      </c>
    </row>
    <row r="378" spans="3:4">
      <c r="C378" t="s">
        <v>964</v>
      </c>
      <c r="D378">
        <v>96.2</v>
      </c>
    </row>
    <row r="379" spans="3:4">
      <c r="C379" t="s">
        <v>965</v>
      </c>
      <c r="D379">
        <v>94.8</v>
      </c>
    </row>
    <row r="380" spans="3:4">
      <c r="C380" t="s">
        <v>966</v>
      </c>
      <c r="D380">
        <v>92.1</v>
      </c>
    </row>
    <row r="381" spans="3:4">
      <c r="C381" t="s">
        <v>967</v>
      </c>
      <c r="D381">
        <v>97.5</v>
      </c>
    </row>
    <row r="382" spans="3:4">
      <c r="C382" t="s">
        <v>968</v>
      </c>
      <c r="D382">
        <v>93.8</v>
      </c>
    </row>
    <row r="383" spans="3:4">
      <c r="C383" t="s">
        <v>969</v>
      </c>
      <c r="D383">
        <v>93.2</v>
      </c>
    </row>
    <row r="384" spans="3:4">
      <c r="C384" t="s">
        <v>970</v>
      </c>
      <c r="D384">
        <v>97.5</v>
      </c>
    </row>
    <row r="385" spans="3:4">
      <c r="C385" t="s">
        <v>783</v>
      </c>
      <c r="D385">
        <v>92.2</v>
      </c>
    </row>
    <row r="386" spans="3:4">
      <c r="C386" t="s">
        <v>971</v>
      </c>
      <c r="D386">
        <v>98.5</v>
      </c>
    </row>
    <row r="387" spans="3:4">
      <c r="C387" t="s">
        <v>972</v>
      </c>
      <c r="D387">
        <v>95.5</v>
      </c>
    </row>
    <row r="388" spans="3:4">
      <c r="C388" t="s">
        <v>973</v>
      </c>
      <c r="D388">
        <v>91.8</v>
      </c>
    </row>
    <row r="389" spans="3:4">
      <c r="C389" t="s">
        <v>974</v>
      </c>
      <c r="D389">
        <v>91.9</v>
      </c>
    </row>
    <row r="390" spans="3:4">
      <c r="C390" t="s">
        <v>975</v>
      </c>
      <c r="D390">
        <v>91</v>
      </c>
    </row>
    <row r="391" spans="3:4">
      <c r="C391" t="s">
        <v>976</v>
      </c>
      <c r="D391">
        <v>92.7</v>
      </c>
    </row>
    <row r="392" spans="3:4">
      <c r="C392" t="s">
        <v>977</v>
      </c>
      <c r="D392">
        <v>89.5</v>
      </c>
    </row>
    <row r="393" spans="3:4">
      <c r="C393" t="s">
        <v>978</v>
      </c>
      <c r="D393">
        <v>91.4</v>
      </c>
    </row>
    <row r="394" spans="3:4">
      <c r="C394" t="s">
        <v>979</v>
      </c>
      <c r="D394">
        <v>93.1</v>
      </c>
    </row>
    <row r="395" spans="3:4">
      <c r="C395" t="s">
        <v>980</v>
      </c>
      <c r="D395">
        <v>93.2</v>
      </c>
    </row>
    <row r="396" spans="3:4">
      <c r="C396" t="s">
        <v>981</v>
      </c>
      <c r="D396">
        <v>90.7</v>
      </c>
    </row>
    <row r="397" spans="3:4">
      <c r="C397" t="s">
        <v>982</v>
      </c>
      <c r="D397">
        <v>92.2</v>
      </c>
    </row>
    <row r="398" spans="3:4">
      <c r="C398" t="s">
        <v>983</v>
      </c>
      <c r="D398">
        <v>88.1</v>
      </c>
    </row>
    <row r="399" spans="3:4">
      <c r="C399" t="s">
        <v>984</v>
      </c>
      <c r="D399">
        <v>91</v>
      </c>
    </row>
    <row r="400" spans="3:4">
      <c r="C400" t="s">
        <v>985</v>
      </c>
      <c r="D400">
        <v>90.3</v>
      </c>
    </row>
    <row r="401" spans="3:4">
      <c r="C401" t="s">
        <v>986</v>
      </c>
      <c r="D401">
        <v>89</v>
      </c>
    </row>
    <row r="402" spans="3:4">
      <c r="C402" t="s">
        <v>987</v>
      </c>
      <c r="D402">
        <v>92</v>
      </c>
    </row>
    <row r="403" spans="3:4">
      <c r="C403" t="s">
        <v>988</v>
      </c>
      <c r="D403">
        <v>95.9</v>
      </c>
    </row>
    <row r="404" spans="3:4">
      <c r="C404" t="s">
        <v>989</v>
      </c>
      <c r="D404">
        <v>95.9</v>
      </c>
    </row>
    <row r="405" spans="3:4">
      <c r="C405" t="s">
        <v>990</v>
      </c>
      <c r="D405">
        <v>95.8</v>
      </c>
    </row>
    <row r="406" spans="3:4">
      <c r="C406" t="s">
        <v>991</v>
      </c>
      <c r="D406">
        <v>92.7</v>
      </c>
    </row>
    <row r="407" spans="3:4">
      <c r="C407" t="s">
        <v>992</v>
      </c>
      <c r="D407">
        <v>93.1</v>
      </c>
    </row>
    <row r="408" spans="3:4">
      <c r="C408" t="s">
        <v>993</v>
      </c>
      <c r="D408">
        <v>89.9</v>
      </c>
    </row>
    <row r="409" spans="3:4">
      <c r="C409" t="s">
        <v>994</v>
      </c>
      <c r="D409">
        <v>93.4</v>
      </c>
    </row>
    <row r="410" spans="3:4">
      <c r="C410" t="s">
        <v>995</v>
      </c>
      <c r="D410">
        <v>90.9</v>
      </c>
    </row>
    <row r="411" spans="3:4">
      <c r="C411" t="s">
        <v>996</v>
      </c>
      <c r="D411">
        <v>83.9</v>
      </c>
    </row>
    <row r="412" spans="3:4">
      <c r="C412" t="s">
        <v>997</v>
      </c>
      <c r="D412">
        <v>86.3</v>
      </c>
    </row>
    <row r="413" spans="3:4">
      <c r="C413" t="s">
        <v>998</v>
      </c>
      <c r="D413">
        <v>91.9</v>
      </c>
    </row>
    <row r="414" spans="3:4">
      <c r="C414" t="s">
        <v>999</v>
      </c>
      <c r="D414">
        <v>91.9</v>
      </c>
    </row>
    <row r="415" spans="3:4">
      <c r="C415" t="s">
        <v>1000</v>
      </c>
      <c r="D415">
        <v>95.7</v>
      </c>
    </row>
    <row r="416" spans="3:4">
      <c r="C416" t="s">
        <v>1001</v>
      </c>
      <c r="D416">
        <v>86.3</v>
      </c>
    </row>
    <row r="417" spans="3:4">
      <c r="C417" t="s">
        <v>1002</v>
      </c>
      <c r="D417">
        <v>90.2</v>
      </c>
    </row>
    <row r="418" spans="3:4">
      <c r="C418" t="s">
        <v>1003</v>
      </c>
      <c r="D418">
        <v>88.7</v>
      </c>
    </row>
    <row r="419" spans="3:4">
      <c r="C419" t="s">
        <v>1004</v>
      </c>
      <c r="D419">
        <v>84.2</v>
      </c>
    </row>
    <row r="420" spans="3:4">
      <c r="C420" t="s">
        <v>1005</v>
      </c>
      <c r="D420">
        <v>85.9</v>
      </c>
    </row>
    <row r="421" spans="3:4">
      <c r="C421" t="s">
        <v>1006</v>
      </c>
      <c r="D421">
        <v>88.3</v>
      </c>
    </row>
    <row r="422" spans="3:4">
      <c r="C422" t="s">
        <v>1007</v>
      </c>
      <c r="D422">
        <v>100.9</v>
      </c>
    </row>
    <row r="423" spans="3:4">
      <c r="C423" t="s">
        <v>1008</v>
      </c>
      <c r="D423">
        <v>92.9</v>
      </c>
    </row>
    <row r="424" spans="3:4">
      <c r="C424" t="s">
        <v>1009</v>
      </c>
      <c r="D424">
        <v>90.1</v>
      </c>
    </row>
    <row r="425" spans="3:4">
      <c r="C425" t="s">
        <v>1010</v>
      </c>
      <c r="D425">
        <v>94.6</v>
      </c>
    </row>
    <row r="426" spans="3:4">
      <c r="C426" t="s">
        <v>1011</v>
      </c>
      <c r="D426">
        <v>93.3</v>
      </c>
    </row>
    <row r="427" spans="3:4">
      <c r="C427" t="s">
        <v>1012</v>
      </c>
      <c r="D427">
        <v>96.4</v>
      </c>
    </row>
    <row r="428" spans="3:4">
      <c r="C428" t="s">
        <v>1013</v>
      </c>
      <c r="D428">
        <v>94.3</v>
      </c>
    </row>
    <row r="429" spans="3:4">
      <c r="C429" t="s">
        <v>1014</v>
      </c>
      <c r="D429">
        <v>91.3</v>
      </c>
    </row>
    <row r="430" spans="3:4">
      <c r="C430" t="s">
        <v>1015</v>
      </c>
      <c r="D430">
        <v>91.4</v>
      </c>
    </row>
    <row r="431" spans="3:4">
      <c r="C431" t="s">
        <v>1016</v>
      </c>
      <c r="D431">
        <v>99.4</v>
      </c>
    </row>
    <row r="432" spans="3:4">
      <c r="C432" t="s">
        <v>1017</v>
      </c>
      <c r="D432">
        <v>90</v>
      </c>
    </row>
    <row r="433" spans="3:4">
      <c r="C433" t="s">
        <v>1018</v>
      </c>
      <c r="D433">
        <v>91.2</v>
      </c>
    </row>
    <row r="434" spans="3:4">
      <c r="C434" t="s">
        <v>1019</v>
      </c>
      <c r="D434">
        <v>96.3</v>
      </c>
    </row>
    <row r="435" spans="3:4">
      <c r="C435" t="s">
        <v>1020</v>
      </c>
      <c r="D435">
        <v>95</v>
      </c>
    </row>
    <row r="436" spans="3:4">
      <c r="C436" t="s">
        <v>1021</v>
      </c>
      <c r="D436">
        <v>90</v>
      </c>
    </row>
    <row r="437" spans="3:4">
      <c r="C437" t="s">
        <v>1022</v>
      </c>
      <c r="D437">
        <v>89.9</v>
      </c>
    </row>
    <row r="438" spans="3:4">
      <c r="C438" t="s">
        <v>1023</v>
      </c>
      <c r="D438">
        <v>88.1</v>
      </c>
    </row>
    <row r="439" spans="3:4">
      <c r="C439" t="s">
        <v>1024</v>
      </c>
      <c r="D439">
        <v>88.4</v>
      </c>
    </row>
    <row r="440" spans="3:4">
      <c r="C440" t="s">
        <v>1025</v>
      </c>
      <c r="D440">
        <v>91.3</v>
      </c>
    </row>
    <row r="441" spans="3:4">
      <c r="C441" t="s">
        <v>1026</v>
      </c>
      <c r="D441">
        <v>85.4</v>
      </c>
    </row>
    <row r="442" spans="3:4">
      <c r="C442" t="s">
        <v>1027</v>
      </c>
      <c r="D442">
        <v>89.6</v>
      </c>
    </row>
    <row r="443" spans="3:4">
      <c r="C443" t="s">
        <v>1028</v>
      </c>
      <c r="D443">
        <v>87.5</v>
      </c>
    </row>
    <row r="444" spans="3:4">
      <c r="C444" t="s">
        <v>1029</v>
      </c>
      <c r="D444">
        <v>86.2</v>
      </c>
    </row>
    <row r="445" spans="3:4">
      <c r="C445" t="s">
        <v>1030</v>
      </c>
      <c r="D445">
        <v>85.9</v>
      </c>
    </row>
    <row r="446" spans="3:4">
      <c r="C446" t="s">
        <v>1031</v>
      </c>
      <c r="D446">
        <v>82.4</v>
      </c>
    </row>
    <row r="447" spans="3:4">
      <c r="C447" t="s">
        <v>1032</v>
      </c>
      <c r="D447">
        <v>84.4</v>
      </c>
    </row>
    <row r="448" spans="3:4">
      <c r="C448" t="s">
        <v>1033</v>
      </c>
      <c r="D448">
        <v>82.7</v>
      </c>
    </row>
    <row r="449" spans="3:4">
      <c r="C449" t="s">
        <v>1034</v>
      </c>
      <c r="D449">
        <v>83</v>
      </c>
    </row>
    <row r="450" spans="3:4">
      <c r="C450" t="s">
        <v>1035</v>
      </c>
      <c r="D450">
        <v>92.2</v>
      </c>
    </row>
    <row r="451" spans="3:4">
      <c r="C451" t="s">
        <v>1036</v>
      </c>
      <c r="D451">
        <v>89.6</v>
      </c>
    </row>
    <row r="452" spans="3:4">
      <c r="C452" t="s">
        <v>1037</v>
      </c>
      <c r="D452">
        <v>89.1</v>
      </c>
    </row>
    <row r="453" spans="3:4">
      <c r="C453" t="s">
        <v>1038</v>
      </c>
      <c r="D453">
        <v>87.8</v>
      </c>
    </row>
    <row r="454" spans="3:4">
      <c r="C454" t="s">
        <v>1039</v>
      </c>
      <c r="D454">
        <v>83.4</v>
      </c>
    </row>
    <row r="455" spans="3:4">
      <c r="C455" t="s">
        <v>1040</v>
      </c>
      <c r="D455">
        <v>82.9</v>
      </c>
    </row>
    <row r="456" spans="3:4">
      <c r="C456" t="s">
        <v>1041</v>
      </c>
      <c r="D456">
        <v>90.2</v>
      </c>
    </row>
    <row r="457" spans="3:4">
      <c r="C457" t="s">
        <v>1042</v>
      </c>
      <c r="D457">
        <v>87.6</v>
      </c>
    </row>
    <row r="458" spans="3:4">
      <c r="C458" t="s">
        <v>1043</v>
      </c>
      <c r="D458">
        <v>84.6</v>
      </c>
    </row>
    <row r="459" spans="3:4">
      <c r="C459" t="s">
        <v>1044</v>
      </c>
      <c r="D459">
        <v>93</v>
      </c>
    </row>
    <row r="460" spans="3:4">
      <c r="C460" t="s">
        <v>1045</v>
      </c>
      <c r="D460">
        <v>88.7</v>
      </c>
    </row>
    <row r="461" spans="3:4">
      <c r="C461" t="s">
        <v>1046</v>
      </c>
      <c r="D461">
        <v>88.3</v>
      </c>
    </row>
    <row r="462" spans="3:4">
      <c r="C462" t="s">
        <v>1047</v>
      </c>
      <c r="D462">
        <v>88.9</v>
      </c>
    </row>
    <row r="463" spans="3:4">
      <c r="C463" t="s">
        <v>1048</v>
      </c>
      <c r="D463">
        <v>89.8</v>
      </c>
    </row>
    <row r="464" spans="3:4">
      <c r="C464" t="s">
        <v>1049</v>
      </c>
      <c r="D464">
        <v>87.2</v>
      </c>
    </row>
    <row r="465" spans="3:4">
      <c r="C465" t="s">
        <v>1050</v>
      </c>
      <c r="D465">
        <v>86.7</v>
      </c>
    </row>
    <row r="466" spans="3:4">
      <c r="C466" t="s">
        <v>1051</v>
      </c>
      <c r="D466">
        <v>88.3</v>
      </c>
    </row>
    <row r="467" spans="3:4">
      <c r="C467" t="s">
        <v>1052</v>
      </c>
      <c r="D467">
        <v>84.5</v>
      </c>
    </row>
    <row r="468" spans="3:4">
      <c r="C468" t="s">
        <v>1053</v>
      </c>
      <c r="D468">
        <v>86.4</v>
      </c>
    </row>
    <row r="469" spans="3:4">
      <c r="C469" t="s">
        <v>1054</v>
      </c>
      <c r="D469">
        <v>87</v>
      </c>
    </row>
    <row r="470" spans="3:4">
      <c r="C470" t="s">
        <v>1055</v>
      </c>
      <c r="D470">
        <v>82</v>
      </c>
    </row>
    <row r="471" spans="3:4">
      <c r="C471" t="s">
        <v>1056</v>
      </c>
      <c r="D471">
        <v>84.1</v>
      </c>
    </row>
    <row r="472" spans="3:4">
      <c r="C472" t="s">
        <v>1057</v>
      </c>
      <c r="D472">
        <v>85.1</v>
      </c>
    </row>
    <row r="473" spans="3:4">
      <c r="C473" t="s">
        <v>1058</v>
      </c>
      <c r="D473">
        <v>91.7</v>
      </c>
    </row>
    <row r="474" spans="3:4">
      <c r="C474" t="s">
        <v>1059</v>
      </c>
      <c r="D474">
        <v>87.6</v>
      </c>
    </row>
    <row r="475" spans="3:4">
      <c r="C475" t="s">
        <v>1060</v>
      </c>
      <c r="D475">
        <v>85.5</v>
      </c>
    </row>
    <row r="476" spans="3:4">
      <c r="C476" t="s">
        <v>1061</v>
      </c>
      <c r="D476">
        <v>91.2</v>
      </c>
    </row>
    <row r="477" spans="3:4">
      <c r="C477" t="s">
        <v>1062</v>
      </c>
      <c r="D477">
        <v>85.9</v>
      </c>
    </row>
    <row r="478" spans="3:4">
      <c r="C478" t="s">
        <v>1063</v>
      </c>
      <c r="D478">
        <v>86.9</v>
      </c>
    </row>
    <row r="479" spans="3:4">
      <c r="C479" t="s">
        <v>1064</v>
      </c>
      <c r="D479">
        <v>85.2</v>
      </c>
    </row>
    <row r="480" spans="3:4">
      <c r="C480" t="s">
        <v>1065</v>
      </c>
      <c r="D480">
        <v>87.3</v>
      </c>
    </row>
    <row r="481" spans="3:4">
      <c r="C481" t="s">
        <v>1066</v>
      </c>
      <c r="D481">
        <v>85</v>
      </c>
    </row>
    <row r="482" spans="3:4">
      <c r="C482" t="s">
        <v>1067</v>
      </c>
      <c r="D482">
        <v>87.8</v>
      </c>
    </row>
    <row r="483" spans="3:4">
      <c r="C483" t="s">
        <v>1068</v>
      </c>
      <c r="D483">
        <v>90.5</v>
      </c>
    </row>
    <row r="484" spans="3:4">
      <c r="C484" t="s">
        <v>1069</v>
      </c>
      <c r="D484">
        <v>88.1</v>
      </c>
    </row>
    <row r="485" spans="3:4">
      <c r="C485" t="s">
        <v>1070</v>
      </c>
      <c r="D485">
        <v>84.9</v>
      </c>
    </row>
    <row r="486" spans="3:4">
      <c r="C486" t="s">
        <v>672</v>
      </c>
      <c r="D486">
        <v>90.5</v>
      </c>
    </row>
    <row r="487" spans="3:4">
      <c r="C487" t="s">
        <v>1071</v>
      </c>
      <c r="D487">
        <v>88.4</v>
      </c>
    </row>
  </sheetData>
  <sheetProtection algorithmName="SHA-512" hashValue="i/7VoEmKeYdtWV4+Sd8WSztngrO4bM1Qm03U/Dr3cznDk79K7ec9qLnyKcDfMxsP9YpCYkouiR+J0zLPgUxBkg==" saltValue="gXYCC90VHn8xZ0PTGa4C+w==" spinCount="100000" sheet="1" formatCells="0" formatColumns="0" formatRows="0" insertColumns="0" insertRows="0" insertHyperlinks="0" deleteColumns="0" deleteRows="0" sort="0" autoFilter="0" pivotTables="0"/>
  <mergeCells count="2">
    <mergeCell ref="B2:E2"/>
    <mergeCell ref="E1:F1"/>
  </mergeCells>
  <phoneticPr fontId="4"/>
  <printOptions horizontalCentered="1"/>
  <pageMargins left="0.70866141732283472" right="0.70866141732283472" top="0.74803149606299213" bottom="0.74803149606299213" header="0.31496062992125984" footer="0.31496062992125984"/>
  <pageSetup paperSize="9" scale="10" orientation="portrait" r:id="rId1"/>
  <rowBreaks count="1" manualBreakCount="1">
    <brk id="39"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F3C37-454C-4931-B993-64E7C1B27AC2}">
  <sheetPr>
    <tabColor rgb="FFFF0000"/>
  </sheetPr>
  <dimension ref="B2:B27"/>
  <sheetViews>
    <sheetView topLeftCell="A19" workbookViewId="0">
      <selection activeCell="B21" sqref="B21"/>
    </sheetView>
  </sheetViews>
  <sheetFormatPr defaultRowHeight="18"/>
  <cols>
    <col min="2" max="2" width="35.75" customWidth="1"/>
  </cols>
  <sheetData>
    <row r="2" spans="2:2">
      <c r="B2" s="34" t="s">
        <v>110</v>
      </c>
    </row>
    <row r="3" spans="2:2">
      <c r="B3" t="s">
        <v>86</v>
      </c>
    </row>
    <row r="4" spans="2:2">
      <c r="B4" t="s">
        <v>87</v>
      </c>
    </row>
    <row r="5" spans="2:2">
      <c r="B5" t="s">
        <v>88</v>
      </c>
    </row>
    <row r="6" spans="2:2">
      <c r="B6" t="s">
        <v>89</v>
      </c>
    </row>
    <row r="7" spans="2:2">
      <c r="B7" t="s">
        <v>90</v>
      </c>
    </row>
    <row r="8" spans="2:2">
      <c r="B8" t="s">
        <v>91</v>
      </c>
    </row>
    <row r="9" spans="2:2">
      <c r="B9" t="s">
        <v>92</v>
      </c>
    </row>
    <row r="10" spans="2:2">
      <c r="B10" t="s">
        <v>32</v>
      </c>
    </row>
    <row r="11" spans="2:2">
      <c r="B11" t="s">
        <v>93</v>
      </c>
    </row>
    <row r="12" spans="2:2">
      <c r="B12" t="s">
        <v>94</v>
      </c>
    </row>
    <row r="13" spans="2:2">
      <c r="B13" t="s">
        <v>95</v>
      </c>
    </row>
    <row r="14" spans="2:2">
      <c r="B14" t="s">
        <v>96</v>
      </c>
    </row>
    <row r="15" spans="2:2">
      <c r="B15" t="s">
        <v>97</v>
      </c>
    </row>
    <row r="16" spans="2:2">
      <c r="B16" t="s">
        <v>98</v>
      </c>
    </row>
    <row r="17" spans="2:2">
      <c r="B17" t="s">
        <v>99</v>
      </c>
    </row>
    <row r="18" spans="2:2">
      <c r="B18" t="s">
        <v>100</v>
      </c>
    </row>
    <row r="19" spans="2:2">
      <c r="B19" t="s">
        <v>101</v>
      </c>
    </row>
    <row r="20" spans="2:2">
      <c r="B20" t="s">
        <v>102</v>
      </c>
    </row>
    <row r="21" spans="2:2">
      <c r="B21" t="s">
        <v>103</v>
      </c>
    </row>
    <row r="22" spans="2:2">
      <c r="B22" t="s">
        <v>104</v>
      </c>
    </row>
    <row r="23" spans="2:2">
      <c r="B23" t="s">
        <v>105</v>
      </c>
    </row>
    <row r="24" spans="2:2">
      <c r="B24" t="s">
        <v>106</v>
      </c>
    </row>
    <row r="25" spans="2:2">
      <c r="B25" t="s">
        <v>107</v>
      </c>
    </row>
    <row r="26" spans="2:2">
      <c r="B26" t="s">
        <v>108</v>
      </c>
    </row>
    <row r="27" spans="2:2">
      <c r="B27" t="s">
        <v>109</v>
      </c>
    </row>
  </sheetData>
  <sheetProtection algorithmName="SHA-512" hashValue="UCTJcQTZmLhL9SaoUQdCwGpM0qqKhq1mmasT9dq3FjELx0DdNwPTrvKqAmo0PgehD/fSXmrE/J8JHDvUcUGVjQ==" saltValue="7c4VOG21yv6J1B3ZWZeJCA==" spinCount="100000" sheet="1" objects="1" scenarios="1"/>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契約稟議2026</vt:lpstr>
      <vt:lpstr>職業統計</vt:lpstr>
      <vt:lpstr>別添３（都道府県別）</vt:lpstr>
      <vt:lpstr>リスト</vt:lpstr>
      <vt:lpstr>職業統計!Print_Area</vt:lpstr>
      <vt:lpstr>'別添３（都道府県別）'!Print_Area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尊夫 藤井</dc:creator>
  <cp:lastModifiedBy>tomohisa hasegawa</cp:lastModifiedBy>
  <cp:lastPrinted>2025-05-19T02:45:27Z</cp:lastPrinted>
  <dcterms:created xsi:type="dcterms:W3CDTF">2025-05-19T01:57:10Z</dcterms:created>
  <dcterms:modified xsi:type="dcterms:W3CDTF">2026-09-10T23:22:05Z</dcterms:modified>
</cp:coreProperties>
</file>